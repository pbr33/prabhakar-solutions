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prabhakargupta\Downloads\"/>
    </mc:Choice>
  </mc:AlternateContent>
  <xr:revisionPtr revIDLastSave="0" documentId="8_{C85EF3AF-6EB5-48B5-84A7-26754424787E}" xr6:coauthVersionLast="47" xr6:coauthVersionMax="47" xr10:uidLastSave="{00000000-0000-0000-0000-000000000000}"/>
  <bookViews>
    <workbookView xWindow="-110" yWindow="-110" windowWidth="19420" windowHeight="10300" tabRatio="500" xr2:uid="{00000000-000D-0000-FFFF-FFFF00000000}"/>
  </bookViews>
  <sheets>
    <sheet name="Summary" sheetId="6" r:id="rId1"/>
    <sheet name="AI Agent Dev- Backend" sheetId="5" r:id="rId2"/>
    <sheet name="DevOps" sheetId="4" r:id="rId3"/>
    <sheet name="Architecture" sheetId="7" r:id="rId4"/>
    <sheet name="Infra Cost" sheetId="8" r:id="rId5"/>
    <sheet name="Version History" sheetId="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4" i="8" l="1"/>
  <c r="C30" i="8"/>
  <c r="C25" i="8"/>
  <c r="C20" i="8"/>
  <c r="C16" i="8"/>
  <c r="C10" i="8"/>
  <c r="C6" i="8"/>
  <c r="C37" i="8" s="1"/>
  <c r="H12" i="6" s="1"/>
  <c r="F53" i="5" l="1"/>
  <c r="F52" i="5"/>
  <c r="F51" i="5"/>
  <c r="E50" i="5"/>
  <c r="D50" i="5"/>
  <c r="F50" i="5" s="1"/>
  <c r="F48" i="5"/>
  <c r="F47" i="5"/>
  <c r="F46" i="5"/>
  <c r="F45" i="5"/>
  <c r="F44" i="5"/>
  <c r="F43" i="5"/>
  <c r="F42" i="5"/>
  <c r="E41" i="5"/>
  <c r="D41" i="5"/>
  <c r="F39" i="5"/>
  <c r="F38" i="5"/>
  <c r="F37" i="5"/>
  <c r="F36" i="5"/>
  <c r="F35" i="5"/>
  <c r="E34" i="5"/>
  <c r="D34" i="5"/>
  <c r="F34" i="5" s="1"/>
  <c r="F32" i="5"/>
  <c r="F31" i="5"/>
  <c r="F30" i="5"/>
  <c r="F29" i="5"/>
  <c r="F28" i="5"/>
  <c r="F27" i="5"/>
  <c r="F26" i="5"/>
  <c r="F25" i="5"/>
  <c r="F24" i="5"/>
  <c r="F23" i="5"/>
  <c r="E22" i="5"/>
  <c r="D22" i="5"/>
  <c r="F22" i="5" s="1"/>
  <c r="F20" i="5"/>
  <c r="F19" i="5"/>
  <c r="F18" i="5"/>
  <c r="F17" i="5"/>
  <c r="F16" i="5"/>
  <c r="F15" i="5"/>
  <c r="F14" i="5"/>
  <c r="E13" i="5"/>
  <c r="D13" i="5"/>
  <c r="F13" i="5" s="1"/>
  <c r="F11" i="5"/>
  <c r="F10" i="5"/>
  <c r="F9" i="5"/>
  <c r="F8" i="5"/>
  <c r="F7" i="5"/>
  <c r="F6" i="5"/>
  <c r="F5" i="5"/>
  <c r="E4" i="5"/>
  <c r="E55" i="5" s="1"/>
  <c r="D4" i="5"/>
  <c r="F22" i="4"/>
  <c r="F21" i="4"/>
  <c r="E20" i="4"/>
  <c r="D20" i="4"/>
  <c r="F20" i="4" s="1"/>
  <c r="F18" i="4"/>
  <c r="F17" i="4"/>
  <c r="E16" i="4"/>
  <c r="D16" i="4"/>
  <c r="F14" i="4"/>
  <c r="F13" i="4"/>
  <c r="F12" i="4"/>
  <c r="F11" i="4"/>
  <c r="F10" i="4"/>
  <c r="F9" i="4"/>
  <c r="F8" i="4"/>
  <c r="F7" i="4"/>
  <c r="F6" i="4"/>
  <c r="F5" i="4"/>
  <c r="E4" i="4"/>
  <c r="F4" i="4" s="1"/>
  <c r="D4" i="4"/>
  <c r="D24" i="4" s="1"/>
  <c r="E56" i="5" l="1"/>
  <c r="F41" i="5"/>
  <c r="E24" i="4"/>
  <c r="F24" i="4" s="1"/>
  <c r="D25" i="4"/>
  <c r="F16" i="4"/>
  <c r="F4" i="5"/>
  <c r="D55" i="5"/>
  <c r="F55" i="5" s="1"/>
  <c r="E25" i="4" l="1"/>
  <c r="F25" i="4"/>
  <c r="C18" i="6" s="1"/>
  <c r="D18" i="6"/>
  <c r="D56" i="5"/>
  <c r="F56" i="5" s="1"/>
  <c r="D13" i="6" l="1"/>
  <c r="C23" i="6"/>
  <c r="D19" i="6"/>
  <c r="I5" i="6"/>
  <c r="D17" i="6"/>
  <c r="C17" i="6"/>
  <c r="D12" i="6"/>
  <c r="I9" i="6"/>
  <c r="I8" i="6"/>
  <c r="I6" i="6"/>
  <c r="I7" i="6"/>
</calcChain>
</file>

<file path=xl/sharedStrings.xml><?xml version="1.0" encoding="utf-8"?>
<sst xmlns="http://schemas.openxmlformats.org/spreadsheetml/2006/main" count="343" uniqueCount="314">
  <si>
    <t>LENOX AI MVP BUILD – ESTIMATION SUMMARY</t>
  </si>
  <si>
    <t>Variables</t>
  </si>
  <si>
    <t>Team Allocation</t>
  </si>
  <si>
    <t>S.N.  |  Pre-Requisites (Client Responsibility)</t>
  </si>
  <si>
    <t>SNO</t>
  </si>
  <si>
    <t>#</t>
  </si>
  <si>
    <t>Role</t>
  </si>
  <si>
    <t>Allocation %</t>
  </si>
  <si>
    <t>Est. Days</t>
  </si>
  <si>
    <t>Active Azure subscription with Contributor or Owner role at resource group level</t>
  </si>
  <si>
    <t>FrontEnd</t>
  </si>
  <si>
    <t>No</t>
  </si>
  <si>
    <t>Project Manager</t>
  </si>
  <si>
    <t>33%</t>
  </si>
  <si>
    <t>Microsoft 365 E3 (or higher) licenses for all service and user accounts</t>
  </si>
  <si>
    <t>Backend</t>
  </si>
  <si>
    <t>Yes</t>
  </si>
  <si>
    <t>AI Architect / Lead</t>
  </si>
  <si>
    <t>50%</t>
  </si>
  <si>
    <t>Copilot Studio license (standalone ~$200/tenant/mo or via M365 tier need to confirm with client)</t>
  </si>
  <si>
    <t>DevOps</t>
  </si>
  <si>
    <t>AI Engineer</t>
  </si>
  <si>
    <t>100%</t>
  </si>
  <si>
    <t>Read-only SharePoint credentials and Graph API permissions for all source data</t>
  </si>
  <si>
    <t>QA Engineer</t>
  </si>
  <si>
    <t>Microsoft Teams admin consent for custom Copilot Studio bot deployment</t>
  </si>
  <si>
    <t>Activities</t>
  </si>
  <si>
    <t>25%</t>
  </si>
  <si>
    <t>Azure AD user accounts provisioned for 5 POC users</t>
  </si>
  <si>
    <t>DevTime (hrs)</t>
  </si>
  <si>
    <t>Identification of key stakeholders for workshops and UAT sign-off</t>
  </si>
  <si>
    <t>Monthly Infra Cost (Est.)</t>
  </si>
  <si>
    <t>S.N.  |  Out of Scope</t>
  </si>
  <si>
    <t>Data ingestion from sources outside SharePoint (non-approved data)</t>
  </si>
  <si>
    <t>Component</t>
  </si>
  <si>
    <t>Days</t>
  </si>
  <si>
    <t>Weeks</t>
  </si>
  <si>
    <t>Automated or scheduled pipeline ingestion — only one-time ingestion for POC is considered</t>
  </si>
  <si>
    <t>0</t>
  </si>
  <si>
    <t>Custom UI development for Teams or any other platform</t>
  </si>
  <si>
    <t>Building CI/CD pipelines or advanced deployment automation</t>
  </si>
  <si>
    <t>PowerPoint (.pptx) files as data source types</t>
  </si>
  <si>
    <t>Project Duration</t>
  </si>
  <si>
    <t>Long-term AI operations support or enterprise-wide AI platform standardization</t>
  </si>
  <si>
    <t>Unstructured formats like mages, audio, and video not supported as data sources</t>
  </si>
  <si>
    <t>Project Duration including Leaves &amp; Holiday</t>
  </si>
  <si>
    <t>Non-standard or custom Excel formats , only the agreed standardized cap rate template is in scope. Any other file layout or formula structure is excluded.</t>
  </si>
  <si>
    <t>Leaves &amp; Holiday</t>
  </si>
  <si>
    <t>Real-time market data , the AI will not pull live cap rate benchmarks, interest rates, or market comps from external sources.</t>
  </si>
  <si>
    <t>New board letter template design , ECI will use the template provided by Lenox. Creating or redesigning the template is out of scope.</t>
  </si>
  <si>
    <t>Note: With 2 AI Engineers, project can be completed within 6-7 weeks.</t>
  </si>
  <si>
    <t>Data classification, labeling, or sensitivity tagging</t>
  </si>
  <si>
    <t>Any new features or requests not mentioned in scope (change request process applies)</t>
  </si>
  <si>
    <t>S.N.  |  Assumptions</t>
  </si>
  <si>
    <t>Source files are Excel, PDF, and Word only  all other formats excluded</t>
  </si>
  <si>
    <t>50–100 historical files per use case will be provided within POC scope</t>
  </si>
  <si>
    <t>AI response accuracy is estimated at 80–95% for structured queries. 100% accuracy is not guaranteed and is not a deliverable of this engagement.</t>
  </si>
  <si>
    <t>AI responses are advisory in nature . all outputs (cap rate targets, letter revisions) must be reviewed and validated by Client before any business decision is made.</t>
  </si>
  <si>
    <t>Model accuracy is dependent on the quality, consistency, and completeness of source files provided. Poor or inconsistent data will directly reduce response quality.</t>
  </si>
  <si>
    <t>AI performance may vary across property types, markets, and deal structures not well-represented in historical training data.</t>
  </si>
  <si>
    <t>The cap rate estimation Excel file format is assumed to be standardized and consistent across all files provided for ingestion. All files must follow the same template/structure.</t>
  </si>
  <si>
    <t>If estimation Excel files vary in structure, layout, or formula logic across analysts or time periods, Client is responsible for normalizing these files prior to ingestion. ECI will not reformat or reconcile inconsistent files.</t>
  </si>
  <si>
    <t>A single agreed-upon Excel template for cap rate calculations will be confirmed and locked during Discovery &amp; Design. Any deviations from this template found will be out of scope</t>
  </si>
  <si>
    <t>The AI will generate cap rate recommendations based on patterns in historical deal files . it will not replicate or replace the Excel formula engine. The output is a recommendation, not a guaranteed calculation.</t>
  </si>
  <si>
    <t>The number of input variables for the estimation use case (e.g., NOI, asking price, location tier, asset class) will be defined and locked during prompt engineering design(Discovery). Additional variables requested after design sign-off are a change request.</t>
  </si>
  <si>
    <t>A fixed, approved board letter template will be provided by Client during Discovery &amp; Design and will serve as the style reference for the AI. This template will not change during the engagement.</t>
  </si>
  <si>
    <t>The AI will provide revision recommendations and suggestions , it will not produce a fully approved final letter. Human review and editing remain the responsibility of client.</t>
  </si>
  <si>
    <t>All board letters are assumed to be in English only. Multi-language documents are out of scope.</t>
  </si>
  <si>
    <t>One-time ingestion only; no automated real-time or scheduled ingestion</t>
  </si>
  <si>
    <t>The UAT phase will follow a set timeline, and the team will address mutually agreed issues during this period. No refinements or enhancements will be considered in the UAT phase.</t>
  </si>
  <si>
    <t>Data classification and labeling not required for the POC phase</t>
  </si>
  <si>
    <t>5 users will participate in UAT, each testing 50–100 queries across both use cases</t>
  </si>
  <si>
    <t>Users must have existing SharePoint access to use the agent</t>
  </si>
  <si>
    <t>Prompt logs stored in Azure Monitor / Log Analytics with 30-day default retention</t>
  </si>
  <si>
    <t>Existing Azure landing zone and subscription will be leveraged  no new subscription</t>
  </si>
  <si>
    <t>Client is responsible for all Azure/cloud licensing, infrastructure, and data usage costs</t>
  </si>
  <si>
    <t>Client will assign UAT resource(s) and respond to ECI queries within 24–48 hours</t>
  </si>
  <si>
    <t>S.N.  |  Risks</t>
  </si>
  <si>
    <t>SharePoint API restrictions: Permission or access issues may add significant effort  validate in Discovery</t>
  </si>
  <si>
    <t xml:space="preserve">LLMs can occasionally generate incorrect outputs. Without human review, an incorrect cap rate recommendation could influence a real investment decision. </t>
  </si>
  <si>
    <t>File volume unvalidated: 50–100 files/use case is an estimate; insufficient data may impact KPI validation</t>
  </si>
  <si>
    <t xml:space="preserve">If cap rate estimation files differ significantly across analysts, AI accuracy will degrade. </t>
  </si>
  <si>
    <t>Cap rate may expand to requests for IRR, cash-on-cash return, or full underwriting analysis during UAT. Any output beyond what is defined in the prompt template is a change request.</t>
  </si>
  <si>
    <t>Model performance variability: GPT-5 vs GPT-4o-mini gap may require additional prompt tuning cycles</t>
  </si>
  <si>
    <t>The AI reads text and numbers . it does not execute Excel formulas. If a file's cap rate is stored as a formula result only (no visible numbers), it may not be captured correctly.</t>
  </si>
  <si>
    <t>Excel file inconsistency: Inconsistent formatting in estimation files may complicate cap rate extraction</t>
  </si>
  <si>
    <t>Board letter variability: Significant variation in Word/PDF structure may reduce RAG retrieval quality</t>
  </si>
  <si>
    <t>"Good enough" revision suggestions are subjective. Without agreed KPI metrics (e.g., reviewer rates 80%+ of suggestions as useful), UAT pass/fail criteria will be disputed.</t>
  </si>
  <si>
    <t>Prompt log retention: Retention beyond 30 days requires additional configuration and may impact cost</t>
  </si>
  <si>
    <t>Copilot Studio licensing: Cost depends on client M365 tier — standalone ~$200/tenant/mo; confirm before start</t>
  </si>
  <si>
    <t>S.N.  |  Definition of Done – Project Closure Criteria</t>
  </si>
  <si>
    <t xml:space="preserve">  ► DISCOVERY &amp; DESIGN</t>
  </si>
  <si>
    <t>Technical architecture document reviewed and signed off by client stakeholders</t>
  </si>
  <si>
    <t>KPI metrics and acceptance thresholds defined, documented, and agreed upon by both parties</t>
  </si>
  <si>
    <t>SharePoint access confirmed and tested with sample Excel, Word, and PDF file payloads</t>
  </si>
  <si>
    <t>Prompt templates provided and approved for both use cases. Logo and headers will be static and text will be dynamic</t>
  </si>
  <si>
    <t xml:space="preserve">  ► ENVIRONMENT SETUP</t>
  </si>
  <si>
    <t>All Azure resources provisioned: Resource Group, VNet, AI Foundry, AI Search, App Service, Key Vault, Azure Monitor</t>
  </si>
  <si>
    <t>Entra ID / Azure AD app registrations and service principals created with least-privilege access</t>
  </si>
  <si>
    <t>Copilot Studio bot deployed to client's Teams tenant with admin consent granted</t>
  </si>
  <si>
    <t xml:space="preserve">  ► DATA INGESTION</t>
  </si>
  <si>
    <t>One-time ingestion completed for both use cases — files validated and indexed in Azure AI Search</t>
  </si>
  <si>
    <t>Two embedding models (text-embedding-3-large + ada-002) tested; embeddings stored and validated</t>
  </si>
  <si>
    <t>Hybrid search (vector + BM25) confirmed functional via representative test queries</t>
  </si>
  <si>
    <t>Azure SQL metadata store populated and validated</t>
  </si>
  <si>
    <t xml:space="preserve">  ► AI AGENT</t>
  </si>
  <si>
    <t>Both use case pipelines (Estimation &amp; Board Letter) returning relevant responses meeting KPI thresholds</t>
  </si>
  <si>
    <t>Multi-model comparison completed: GPT-5 vs GPT-4o-mini evaluated across defined KPIs</t>
  </si>
  <si>
    <t>Prompt logging active  all interactions captured in Azure Monitor (30-day retention confirmed)</t>
  </si>
  <si>
    <t>Adaptive Card trigger and Teams bot responses functional for both use cases</t>
  </si>
  <si>
    <t xml:space="preserve">  ► TESTING &amp; UAT</t>
  </si>
  <si>
    <t>All unit and integration tests passing with minimum critical defects</t>
  </si>
  <si>
    <t>5 POC users completed UAT (50–100 queries each) across both use cases</t>
  </si>
  <si>
    <t>Security testing passed: authentication, authorization verified</t>
  </si>
  <si>
    <t>Feedback incorporated and sign-off obtained from UAT participants</t>
  </si>
  <si>
    <t xml:space="preserve">  ► PRODUCTION DEPLOYMENT &amp; HANDOVER</t>
  </si>
  <si>
    <t>Production environment deployed, smoke tested, and monitoring alerts configured</t>
  </si>
  <si>
    <t>Architecture documentation and user guides finalized and delivered to client</t>
  </si>
  <si>
    <t>Production access credentials transferred with least-privilege RBAC</t>
  </si>
  <si>
    <t>LENOX AI MVP BUILD – AI AGENT DEVELOPMENT &amp; INTEGRATION</t>
  </si>
  <si>
    <t>Task / Phase</t>
  </si>
  <si>
    <t>Sub-task</t>
  </si>
  <si>
    <t>Dev Low (hrs)</t>
  </si>
  <si>
    <t>Dev High (hrs)</t>
  </si>
  <si>
    <t>Avg (hrs)</t>
  </si>
  <si>
    <t>Comments</t>
  </si>
  <si>
    <t>Phase 1: Discovery &amp; Design</t>
  </si>
  <si>
    <t>Project kickoff, scope confirmation &amp; stakeholder alignment</t>
  </si>
  <si>
    <t>Requirements review with stakeholders &amp; delegates</t>
  </si>
  <si>
    <t>SharePoint data source review – Excel, Word, PDF (schema, auth, payload)</t>
  </si>
  <si>
    <t>Validate file structures for each source</t>
  </si>
  <si>
    <t>50-100 file sample review – estimation &amp; board letters</t>
  </si>
  <si>
    <t>Validate content quality &amp; metadata structure</t>
  </si>
  <si>
    <t>Architecture finalization and sign-off</t>
  </si>
  <si>
    <t>Private endpoint &amp; Azure landing zone review</t>
  </si>
  <si>
    <t>Creating necessary Documents</t>
  </si>
  <si>
    <t>Technical design &amp; architecture docs</t>
  </si>
  <si>
    <t>Prompt engineering design for both use cases</t>
  </si>
  <si>
    <t>Cap rate estimation + board letter review prompts</t>
  </si>
  <si>
    <t>KPI metric &amp; threshold definition</t>
  </si>
  <si>
    <t>Accuracy, response time, relevance benchmarks</t>
  </si>
  <si>
    <t>Phase 2: Data Ingestion &amp; SharePoint Processing</t>
  </si>
  <si>
    <t>SharePoint connector setup (OAuth, Graph API, read permissions)</t>
  </si>
  <si>
    <t>One-time ingestion pipeline from SharePoint</t>
  </si>
  <si>
    <t>Excel file parsing &amp; metadata tagging (Use Case 1 – Estimation)</t>
  </si>
  <si>
    <t>Cap rate &amp; underwriting Excel files</t>
  </si>
  <si>
    <t>Word/PDF file parsing &amp; metadata tagging (Use Case 2 – Board Letter)</t>
  </si>
  <si>
    <t>Historical quarterly board letters</t>
  </si>
  <si>
    <t>Intelligent text chunking &amp; metadata strategy (cross use case)</t>
  </si>
  <si>
    <t>Chunk sizing for financial documents</t>
  </si>
  <si>
    <t>Azure OpenAI Embedding integration (2 embedding models)</t>
  </si>
  <si>
    <t>text-embedding-3-large + ada-002</t>
  </si>
  <si>
    <t xml:space="preserve">One-time embedding generation for all source files </t>
  </si>
  <si>
    <t>Azure AI Search schema design + hybrid search config</t>
  </si>
  <si>
    <t>Phase 3: AI Agent Development</t>
  </si>
  <si>
    <t>Use Case 1: Estimation/underwriting – prompt engineering &amp; RAG pipeline</t>
  </si>
  <si>
    <t>Cap rate analysis &amp; scenario prompting</t>
  </si>
  <si>
    <t>Use Case 1: Excel data extraction &amp; cap rate calculation logic</t>
  </si>
  <si>
    <t>Parse NOI, property value, scenario inputs</t>
  </si>
  <si>
    <t>Use Case 1: Adaptive Card trigger &amp; response formatting (Teams)</t>
  </si>
  <si>
    <t>Trigger via Teams Adaptive Card; output as text</t>
  </si>
  <si>
    <t>Use Case 2: Board letter review – prompt engineering &amp; RAG pipeline</t>
  </si>
  <si>
    <t>Draft comparison against historical final letters</t>
  </si>
  <si>
    <t>Use Case 2: Word/PDF retrieval &amp; revision recommendation logic</t>
  </si>
  <si>
    <t>Semantic search over prior approved drafts</t>
  </si>
  <si>
    <t>Use Case 2: Draft analysis &amp; tone/style recommendation output</t>
  </si>
  <si>
    <t>Structured revision suggestions</t>
  </si>
  <si>
    <t>Multi-model evaluation – compare 2 base + 2 embedding models</t>
  </si>
  <si>
    <t>Prompt logging implementation (Azure Monitor / Log Analytics)</t>
  </si>
  <si>
    <t>Security controls: Key Vault secrets, Entra ID managed identity</t>
  </si>
  <si>
    <t>Per-user throttling &amp; managed identity</t>
  </si>
  <si>
    <t>Rate limiting &amp; user authorization (5 POC users)</t>
  </si>
  <si>
    <t>Azure AD validation</t>
  </si>
  <si>
    <t>Phase 4: Teams Bot Development (Copilot Studio)</t>
  </si>
  <si>
    <t>Backend REST API development (FastAPI) – bot orchestration</t>
  </si>
  <si>
    <t>Query routing to AI agent</t>
  </si>
  <si>
    <t>Azure AD / Entra authentication &amp; SSO integration</t>
  </si>
  <si>
    <t>Teams identity &amp; service principal</t>
  </si>
  <si>
    <t>Copilot Studio bot config &amp; Teams channel publishing</t>
  </si>
  <si>
    <t>Teams bot channel deployment</t>
  </si>
  <si>
    <t>Adaptive cards / rich response formatting (both use cases)</t>
  </si>
  <si>
    <t>Structured output for Estimation &amp; Board Letter</t>
  </si>
  <si>
    <t>End-to-end conversation flow testing</t>
  </si>
  <si>
    <t>Validate both use case flows in Teams</t>
  </si>
  <si>
    <t>Phase 5: Testing &amp; UAT</t>
  </si>
  <si>
    <t>Unit testing – all agent components</t>
  </si>
  <si>
    <t>Function-level tests for both use cases</t>
  </si>
  <si>
    <t>Integration testing – end-to-end workflow (both use cases)</t>
  </si>
  <si>
    <t>SharePoint → Agent → Teams validation</t>
  </si>
  <si>
    <t>Prompt engineering tuning (both use cases)</t>
  </si>
  <si>
    <t>Optimize against KPI thresholds</t>
  </si>
  <si>
    <t>Performance testing – response time target &lt;10s</t>
  </si>
  <si>
    <t>5 concurrent users simulation</t>
  </si>
  <si>
    <t>Security testing – auth, authorization</t>
  </si>
  <si>
    <t>UAT coordination with 5 users (50–100 queries each)</t>
  </si>
  <si>
    <t>Real queries across both use cases</t>
  </si>
  <si>
    <t>Feedback incorporation &amp; bug fixes</t>
  </si>
  <si>
    <t>Address UAT findings</t>
  </si>
  <si>
    <t>Phase 6: Production Deployment &amp; Handover</t>
  </si>
  <si>
    <t>Architecture documentation with diagrams</t>
  </si>
  <si>
    <t>Technical design docs</t>
  </si>
  <si>
    <t>User guide creation (with screenshots)</t>
  </si>
  <si>
    <t>End-user how-to guide for both use cases</t>
  </si>
  <si>
    <t>End-user training sessions (2 hrs, recorded)</t>
  </si>
  <si>
    <t>How to use Teams bot for both use cases</t>
  </si>
  <si>
    <t>Project Management (10% of dev hours)</t>
  </si>
  <si>
    <t>Throughout project</t>
  </si>
  <si>
    <t>TOTAL PROJECT HOURS</t>
  </si>
  <si>
    <t>Average hours noted for reference</t>
  </si>
  <si>
    <t>LENOX AI MVP BUILD – DEVOPS &amp; INFRASTRUCTURE PROVISIONING</t>
  </si>
  <si>
    <t>Azure Environment Setup</t>
  </si>
  <si>
    <t>Azure Resource Group, VNet &amp; Subnets provisioning</t>
  </si>
  <si>
    <t>Isolated network foundation</t>
  </si>
  <si>
    <t>Private endpoints &amp; Private Link config (all services)</t>
  </si>
  <si>
    <t>Mandatory per scope – all services off public internet</t>
  </si>
  <si>
    <t>Azure AI Foundry workspace setup &amp; model deployments</t>
  </si>
  <si>
    <t>GPT-5 + GPT-4o-mini + embedding model deployments</t>
  </si>
  <si>
    <t>Azure AI Search instance (Standard S1) provisioning</t>
  </si>
  <si>
    <t>Vector + keyword hybrid search</t>
  </si>
  <si>
    <t>Azure App Service (P1V2) for bot backend</t>
  </si>
  <si>
    <t>REST API hosting for FastAPI backend</t>
  </si>
  <si>
    <t>Azure Key Vault &amp; secrets configuration</t>
  </si>
  <si>
    <t>API keys, credentials, managed identity</t>
  </si>
  <si>
    <t>Azure Monitor + Log Analytics (30-day retention)</t>
  </si>
  <si>
    <t>Prompt logging &amp; observability</t>
  </si>
  <si>
    <t>Azure SQL Database (Standard S2) provisioning</t>
  </si>
  <si>
    <t>Structured metadata storage</t>
  </si>
  <si>
    <t>SharePoint service principal &amp; Graph API config</t>
  </si>
  <si>
    <t>Authentication for SharePoint data ingestion</t>
  </si>
  <si>
    <t>Entra ID / Azure AD app registrations</t>
  </si>
  <si>
    <t>Auth for APIs &amp; Teams bot</t>
  </si>
  <si>
    <t>Copilot Studio &amp; Teams Integration</t>
  </si>
  <si>
    <t>Copilot Studio environment provisioning &amp; bot channel setup</t>
  </si>
  <si>
    <t>Teams bot channel configuration</t>
  </si>
  <si>
    <t>Teams admin consent &amp; bot deployment to tenant</t>
  </si>
  <si>
    <t>Admin approval required</t>
  </si>
  <si>
    <t>Security Baseline &amp; Testing</t>
  </si>
  <si>
    <t>NSG rules, Azure AD conditional access, Key Vault policies</t>
  </si>
  <si>
    <t>Security hardening per scope</t>
  </si>
  <si>
    <t>UAT staging environment deployment</t>
  </si>
  <si>
    <t>Mirror of production</t>
  </si>
  <si>
    <t>Meetings &amp; Sync (10% of dev hours)</t>
  </si>
  <si>
    <t>Standups, client syncs</t>
  </si>
  <si>
    <t>TOTAL DEVOPS HOURS</t>
  </si>
  <si>
    <t>Average for budgeting</t>
  </si>
  <si>
    <t>Use Case 1 – Estimation &amp; Underwriting (Cap Rate Analysis) · Adaptive Card trigger → Text output</t>
  </si>
  <si>
    <t>Use Case 2 – Quarterly Board Letter Review &amp; Revision · Teams agent search → Text output</t>
  </si>
  <si>
    <t>LENOX AI MVP – INFRASTRUCTURE COST ESTIMATE</t>
  </si>
  <si>
    <t>Service / Resource</t>
  </si>
  <si>
    <t>$/mo</t>
  </si>
  <si>
    <t>Pricing Model</t>
  </si>
  <si>
    <t>Notes / Assumptions</t>
  </si>
  <si>
    <t xml:space="preserve">  AI Services — Azure AI Foundry / OpenAI</t>
  </si>
  <si>
    <t>GPT-4o (Primary LLM — 90% of queries)</t>
  </si>
  <si>
    <t>Pay-per-token</t>
  </si>
  <si>
    <t>375 queries/mo avg 1,000 input + 500 output tokens. GPT-4o: $2.50/$10 per 1M tokens. ~90% of queries.</t>
  </si>
  <si>
    <t>GPT-4o-mini (Secondary LLM — 10% of queries)</t>
  </si>
  <si>
    <t>~38 queries/mo comparison testing. GPT-4o-mini: $0.15/$0.60 per 1M tokens.</t>
  </si>
  <si>
    <t>Subtotal — AI Services</t>
  </si>
  <si>
    <t xml:space="preserve">  Vector Storage — Azure AI Search</t>
  </si>
  <si>
    <t>Azure AI Search — Standard S1 (1 replica, 1 partition)</t>
  </si>
  <si>
    <t>Fixed monthly</t>
  </si>
  <si>
    <t>S1 required for semantic ranker + hybrid search. ~$245/mo base. Supports both use case indexes.</t>
  </si>
  <si>
    <t>Subtotal — Vector Storage</t>
  </si>
  <si>
    <t xml:space="preserve">  Compute — App Service &amp; Functions</t>
  </si>
  <si>
    <t>Azure App Service — P1V2 Linux (FastAPI backend / Teams bot)</t>
  </si>
  <si>
    <t>P1V2: 1 vCPU, 3.5 GB RAM. ~$54.75/mo. Hosts REST API for Copilot Studio bot.</t>
  </si>
  <si>
    <t>Azure Functions — Consumption Plan (ingestion helper, one-time)</t>
  </si>
  <si>
    <t>Pay-per-execution</t>
  </si>
  <si>
    <t>Used only during initial SharePoint ingestion. Near-zero ongoing cost after setup.</t>
  </si>
  <si>
    <t>Azure Blob Storage — LRS (temp staging for file processing)</t>
  </si>
  <si>
    <t>Pay-per-GB</t>
  </si>
  <si>
    <t>5 GB one-time upload staging. $0.018/GB/mo after ingestion (~$0.09/mo ongoing).</t>
  </si>
  <si>
    <t>Subtotal — Compute</t>
  </si>
  <si>
    <t xml:space="preserve">  Database — Azure SQL</t>
  </si>
  <si>
    <t>Azure SQL Database — Standard S2 (50 DTUs)</t>
  </si>
  <si>
    <t>S2 = 50 DTUs. Handles structured metadata queries and cap rate lookup tables. Private endpoint included.</t>
  </si>
  <si>
    <t>Subtotal — Database / Azure SQL</t>
  </si>
  <si>
    <t xml:space="preserve">  Security &amp; Identity</t>
  </si>
  <si>
    <t>Azure Key Vault (secrets, API keys, managed identity)</t>
  </si>
  <si>
    <t>Operations-based</t>
  </si>
  <si>
    <t>Standard tier. ~10K operations/mo. First 10K ops free, then $0.03/10K.</t>
  </si>
  <si>
    <t>Entra ID / Azure AD (service principals, app registrations)</t>
  </si>
  <si>
    <t>$  –</t>
  </si>
  <si>
    <t>Included in M365 E3</t>
  </si>
  <si>
    <t>No additional cost. 5 POC users on existing E3 licences.</t>
  </si>
  <si>
    <t>Subtotal — Security &amp; Identity</t>
  </si>
  <si>
    <t xml:space="preserve">  Monitoring &amp; Observability</t>
  </si>
  <si>
    <t>Azure Monitor — Log Analytics Workspace</t>
  </si>
  <si>
    <t>Per GB ingested</t>
  </si>
  <si>
    <t>Prompt logs for all interactions. ~1-2 GB/mo. $2.30/GB after 5 GB free tier.</t>
  </si>
  <si>
    <t>Azure Monitor — Alerts &amp; Dashboards</t>
  </si>
  <si>
    <t>Per alert rule</t>
  </si>
  <si>
    <t>MVP: demonstrate logging active during presentation. First 10 alert rules free.</t>
  </si>
  <si>
    <t>Subtotal — Monitoring &amp; Observability</t>
  </si>
  <si>
    <t xml:space="preserve">  Integration — Copilot Studio &amp; Teams</t>
  </si>
  <si>
    <t>Copilot Studio (Teams bot, Adaptive Cards – both use cases)</t>
  </si>
  <si>
    <t>Pay per message</t>
  </si>
  <si>
    <t>~$200/tenant/mo standalone OR Depends on M365 licence tier. Confirm with client.</t>
  </si>
  <si>
    <t>Subtotal — Integration</t>
  </si>
  <si>
    <t>TOTAL ESTIMATED MONTHLY INFRASTRUCTURE COST</t>
  </si>
  <si>
    <t>Estimated monthly cost for POC environment. Excludes one-time setup costs.</t>
  </si>
  <si>
    <t>VERSION HISTORY</t>
  </si>
  <si>
    <t>Version</t>
  </si>
  <si>
    <t>Changes</t>
  </si>
  <si>
    <t>Date</t>
  </si>
  <si>
    <t>Author</t>
  </si>
  <si>
    <t>v1.0</t>
  </si>
  <si>
    <t>Initial estimate based on Lenox AI MVP scope document</t>
  </si>
  <si>
    <t>2026-03-09</t>
  </si>
  <si>
    <t>Prabhakar</t>
  </si>
  <si>
    <t>v1.1</t>
  </si>
  <si>
    <t>Updated models to GPT-5 and GPT-4o-mini; full formula rebuild; Summary governance sections added</t>
  </si>
  <si>
    <t>2026-03-10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</si>
</sst>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7">
    <font>
      <sz val="11"/>
      <color theme="1"/>
      <name val="Calibri"/>
      <family val="2"/>
      <charset val="1"/>
    </font>
    <font>
      <b/>
      <sz val="13"/>
      <color rgb="FFFFFFFF"/>
      <name val="Arial"/>
      <family val="2"/>
    </font>
    <font>
      <b/>
      <sz val="10"/>
      <color rgb="FFFFFFFF"/>
      <name val="Arial"/>
      <family val="2"/>
    </font>
    <font>
      <sz val="10"/>
      <color rgb="FF000000"/>
      <name val="Arial"/>
      <family val="2"/>
    </font>
    <font>
      <b/>
      <sz val="10"/>
      <color rgb="FF000000"/>
      <name val="Arial"/>
      <family val="2"/>
    </font>
    <font>
      <b/>
      <sz val="10"/>
      <color rgb="FF0070C0"/>
      <name val="Arial"/>
      <family val="2"/>
    </font>
    <font>
      <b/>
      <sz val="10"/>
      <color rgb="FF375623"/>
      <name val="Arial"/>
      <family val="2"/>
    </font>
    <font>
      <b/>
      <sz val="10"/>
      <color rgb="FF17375E"/>
      <name val="Arial"/>
      <family val="2"/>
    </font>
    <font>
      <b/>
      <sz val="8"/>
      <color rgb="FF444455"/>
      <name val="Aptos"/>
      <family val="2"/>
    </font>
    <font>
      <b/>
      <sz val="13"/>
      <color rgb="FFFFFFFF"/>
      <name val="Arial"/>
      <charset val="1"/>
    </font>
    <font>
      <b/>
      <sz val="10"/>
      <color rgb="FFFFFFFF"/>
      <name val="Arial"/>
      <charset val="1"/>
    </font>
    <font>
      <sz val="10"/>
      <color rgb="FF000000"/>
      <name val="Arial"/>
      <charset val="1"/>
    </font>
    <font>
      <b/>
      <sz val="10"/>
      <color rgb="FF000000"/>
      <name val="Arial"/>
      <charset val="1"/>
    </font>
    <font>
      <b/>
      <sz val="10"/>
      <name val="Arial"/>
      <family val="2"/>
    </font>
    <font>
      <b/>
      <sz val="11"/>
      <color rgb="FF000000"/>
      <name val="Arial"/>
      <charset val="1"/>
    </font>
    <font>
      <sz val="10"/>
      <color theme="1"/>
      <name val="Arial"/>
      <family val="2"/>
    </font>
    <font>
      <b/>
      <sz val="10"/>
      <color theme="1"/>
      <name val="Arial"/>
      <family val="2"/>
    </font>
  </fonts>
  <fills count="22">
    <fill>
      <patternFill patternType="none"/>
    </fill>
    <fill>
      <patternFill patternType="gray125"/>
    </fill>
    <fill>
      <patternFill patternType="solid">
        <fgColor rgb="FF1F3864"/>
        <bgColor rgb="FF17375E"/>
      </patternFill>
    </fill>
    <fill>
      <patternFill patternType="solid">
        <fgColor rgb="FF2E75B6"/>
        <bgColor rgb="FF0070C0"/>
      </patternFill>
    </fill>
    <fill>
      <patternFill patternType="solid">
        <fgColor rgb="FF17375E"/>
        <bgColor rgb="FF1F3864"/>
      </patternFill>
    </fill>
    <fill>
      <patternFill patternType="solid">
        <fgColor rgb="FFDEEAF1"/>
        <bgColor rgb="FFD9E1F2"/>
      </patternFill>
    </fill>
    <fill>
      <patternFill patternType="solid">
        <fgColor rgb="FFFFFF00"/>
        <bgColor rgb="FFFFFF00"/>
      </patternFill>
    </fill>
    <fill>
      <patternFill patternType="solid">
        <fgColor rgb="FFFF0000"/>
        <bgColor rgb="FFC00000"/>
      </patternFill>
    </fill>
    <fill>
      <patternFill patternType="solid">
        <fgColor rgb="FF00B050"/>
        <bgColor rgb="FF008080"/>
      </patternFill>
    </fill>
    <fill>
      <patternFill patternType="solid">
        <fgColor rgb="FFC00000"/>
        <bgColor rgb="FFFF0000"/>
      </patternFill>
    </fill>
    <fill>
      <patternFill patternType="solid">
        <fgColor rgb="FFFFF0F0"/>
        <bgColor rgb="FFFFFFFF"/>
      </patternFill>
    </fill>
    <fill>
      <patternFill patternType="solid">
        <fgColor rgb="FF1F558B"/>
        <bgColor rgb="FF1F3864"/>
      </patternFill>
    </fill>
    <fill>
      <patternFill patternType="solid">
        <fgColor rgb="FFC6EFCE"/>
        <bgColor rgb="FFDEEAF1"/>
      </patternFill>
    </fill>
    <fill>
      <patternFill patternType="solid">
        <fgColor rgb="FFC55A11"/>
        <bgColor rgb="FFED7D31"/>
      </patternFill>
    </fill>
    <fill>
      <patternFill patternType="solid">
        <fgColor rgb="FFFCE4D6"/>
        <bgColor rgb="FFFFF0F0"/>
      </patternFill>
    </fill>
    <fill>
      <patternFill patternType="solid">
        <fgColor rgb="FFBDD7EE"/>
        <bgColor rgb="FFD9E1F2"/>
      </patternFill>
    </fill>
    <fill>
      <patternFill patternType="solid">
        <fgColor rgb="FF2E75B6"/>
        <bgColor rgb="FF0066CC"/>
      </patternFill>
    </fill>
    <fill>
      <patternFill patternType="solid">
        <fgColor theme="4"/>
        <bgColor rgb="FF993300"/>
      </patternFill>
    </fill>
    <fill>
      <patternFill patternType="solid">
        <fgColor theme="6"/>
        <bgColor rgb="FF17375E"/>
      </patternFill>
    </fill>
    <fill>
      <patternFill patternType="solid">
        <fgColor theme="6"/>
        <bgColor rgb="FFFFFF00"/>
      </patternFill>
    </fill>
    <fill>
      <patternFill patternType="solid">
        <fgColor theme="8" tint="0.39997558519241921"/>
        <bgColor rgb="FFD9E1F2"/>
      </patternFill>
    </fill>
    <fill>
      <patternFill patternType="solid">
        <fgColor theme="8"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68">
    <xf numFmtId="0" fontId="0" fillId="0" borderId="0" xfId="0"/>
    <xf numFmtId="0" fontId="3" fillId="5"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5" borderId="1" xfId="0" applyFill="1" applyBorder="1"/>
    <xf numFmtId="0" fontId="2" fillId="2" borderId="1" xfId="0" applyFont="1" applyFill="1" applyBorder="1" applyAlignment="1">
      <alignment horizontal="left" vertical="center" wrapText="1"/>
    </xf>
    <xf numFmtId="0" fontId="0" fillId="6" borderId="1" xfId="0" applyFill="1" applyBorder="1"/>
    <xf numFmtId="1" fontId="2" fillId="4" borderId="1" xfId="0" applyNumberFormat="1" applyFont="1" applyFill="1" applyBorder="1" applyAlignment="1">
      <alignment horizontal="center" vertical="center" wrapText="1"/>
    </xf>
    <xf numFmtId="165"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65" fontId="3" fillId="5"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2" fontId="3" fillId="0" borderId="1" xfId="0" applyNumberFormat="1" applyFont="1" applyBorder="1" applyAlignment="1">
      <alignment horizontal="center"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2" fontId="4"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2" fontId="4" fillId="6"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3"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8" fillId="0" borderId="0" xfId="0" applyFont="1"/>
    <xf numFmtId="0" fontId="10" fillId="16" borderId="1" xfId="0" applyFont="1" applyFill="1" applyBorder="1" applyAlignment="1">
      <alignment horizontal="center" vertical="center" wrapText="1"/>
    </xf>
    <xf numFmtId="0" fontId="10" fillId="16" borderId="1" xfId="0" applyFont="1" applyFill="1" applyBorder="1" applyAlignment="1">
      <alignment horizontal="left"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164" fontId="11" fillId="0" borderId="1" xfId="0" applyNumberFormat="1" applyFont="1" applyBorder="1" applyAlignment="1">
      <alignment horizontal="right" vertical="center" wrapText="1"/>
    </xf>
    <xf numFmtId="164" fontId="12" fillId="5" borderId="1" xfId="0" applyNumberFormat="1" applyFont="1" applyFill="1" applyBorder="1" applyAlignment="1">
      <alignment horizontal="right" vertical="center" wrapText="1"/>
    </xf>
    <xf numFmtId="164" fontId="14" fillId="19" borderId="1" xfId="0" applyNumberFormat="1" applyFont="1" applyFill="1" applyBorder="1" applyAlignment="1">
      <alignment horizontal="right" vertical="center" wrapText="1"/>
    </xf>
    <xf numFmtId="0" fontId="0" fillId="19" borderId="1" xfId="0" applyFill="1" applyBorder="1"/>
    <xf numFmtId="0" fontId="12" fillId="19" borderId="1" xfId="0" applyFont="1" applyFill="1" applyBorder="1" applyAlignment="1">
      <alignment horizontal="left" vertical="center" wrapText="1"/>
    </xf>
    <xf numFmtId="0" fontId="3" fillId="20" borderId="1" xfId="0" applyFont="1" applyFill="1" applyBorder="1" applyAlignment="1">
      <alignment horizontal="center" vertical="center" wrapText="1"/>
    </xf>
    <xf numFmtId="0" fontId="3" fillId="20" borderId="1" xfId="0" applyFont="1" applyFill="1" applyBorder="1" applyAlignment="1">
      <alignment horizontal="left" vertical="center" wrapText="1"/>
    </xf>
    <xf numFmtId="0" fontId="15" fillId="21" borderId="1" xfId="0" applyFont="1" applyFill="1" applyBorder="1" applyAlignment="1">
      <alignment wrapText="1"/>
    </xf>
    <xf numFmtId="0" fontId="4" fillId="0" borderId="1" xfId="0" applyFont="1" applyBorder="1" applyAlignment="1">
      <alignment horizontal="left" vertical="center" wrapText="1"/>
    </xf>
    <xf numFmtId="0" fontId="3" fillId="10" borderId="1" xfId="0" applyFont="1" applyFill="1" applyBorder="1" applyAlignment="1">
      <alignment horizontal="left" vertical="top" wrapText="1"/>
    </xf>
    <xf numFmtId="0" fontId="16" fillId="21" borderId="1" xfId="0" applyFont="1" applyFill="1" applyBorder="1" applyAlignment="1">
      <alignment wrapText="1"/>
    </xf>
    <xf numFmtId="0" fontId="16" fillId="21" borderId="1" xfId="0" applyFont="1" applyFill="1" applyBorder="1" applyAlignment="1">
      <alignment horizontal="left" vertical="top" wrapText="1"/>
    </xf>
    <xf numFmtId="0" fontId="15" fillId="21" borderId="1" xfId="0" applyFont="1" applyFill="1" applyBorder="1" applyAlignment="1">
      <alignment horizontal="left" vertical="top" wrapText="1"/>
    </xf>
    <xf numFmtId="0" fontId="4" fillId="20" borderId="1" xfId="0" applyFont="1" applyFill="1" applyBorder="1" applyAlignment="1">
      <alignment horizontal="left" vertical="center" wrapText="1"/>
    </xf>
    <xf numFmtId="0" fontId="4" fillId="20" borderId="1" xfId="0" applyFont="1" applyFill="1" applyBorder="1" applyAlignment="1">
      <alignment horizontal="left" vertical="top" wrapText="1"/>
    </xf>
    <xf numFmtId="0" fontId="0" fillId="0" borderId="0" xfId="0" applyAlignment="1">
      <alignment wrapText="1"/>
    </xf>
    <xf numFmtId="0" fontId="4" fillId="0" borderId="1" xfId="0" applyFont="1" applyBorder="1" applyAlignment="1">
      <alignment horizontal="left" vertical="center"/>
    </xf>
    <xf numFmtId="0" fontId="4" fillId="5" borderId="1" xfId="0" applyFont="1" applyFill="1" applyBorder="1" applyAlignment="1">
      <alignment horizontal="left" vertical="center" wrapText="1"/>
    </xf>
    <xf numFmtId="0" fontId="2" fillId="9" borderId="0" xfId="0" applyFont="1" applyFill="1" applyAlignment="1">
      <alignment horizontal="left" vertical="center" wrapText="1"/>
    </xf>
    <xf numFmtId="0" fontId="4" fillId="0" borderId="1" xfId="0" applyFont="1" applyBorder="1" applyAlignment="1">
      <alignment horizontal="left" vertical="center" wrapText="1"/>
    </xf>
    <xf numFmtId="0" fontId="2" fillId="11" borderId="1" xfId="0" applyFont="1" applyFill="1" applyBorder="1" applyAlignment="1">
      <alignment horizontal="left"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7" fillId="15" borderId="0" xfId="0" applyFont="1" applyFill="1" applyAlignment="1">
      <alignment horizontal="left" vertical="center" wrapText="1"/>
    </xf>
    <xf numFmtId="0" fontId="6" fillId="12" borderId="0" xfId="0" applyFont="1" applyFill="1" applyAlignment="1">
      <alignment horizontal="left" vertical="top"/>
    </xf>
    <xf numFmtId="0" fontId="2" fillId="13" borderId="0" xfId="0" applyFont="1" applyFill="1" applyAlignment="1">
      <alignment horizontal="left"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10" fillId="17" borderId="2" xfId="0" applyFont="1" applyFill="1" applyBorder="1" applyAlignment="1">
      <alignment horizontal="left" vertical="center" wrapText="1"/>
    </xf>
    <xf numFmtId="0" fontId="9" fillId="2" borderId="0" xfId="0" applyFont="1" applyFill="1" applyAlignment="1">
      <alignment horizontal="center" vertical="center" wrapText="1"/>
    </xf>
    <xf numFmtId="0" fontId="12" fillId="5" borderId="1" xfId="0" applyFont="1" applyFill="1" applyBorder="1" applyAlignment="1">
      <alignment horizontal="left" vertical="center" wrapText="1"/>
    </xf>
    <xf numFmtId="0" fontId="13" fillId="18" borderId="1" xfId="0" applyFont="1" applyFill="1" applyBorder="1" applyAlignment="1">
      <alignment horizontal="left" vertical="center" wrapText="1"/>
    </xf>
    <xf numFmtId="0" fontId="10" fillId="18"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7"/>
      <rgbColor rgb="FFDEEAF1"/>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D9E1F2"/>
      <rgbColor rgb="FFC6EFCE"/>
      <rgbColor rgb="FFFFF0F0"/>
      <rgbColor rgb="FF99CCFF"/>
      <rgbColor rgb="FFFF99CC"/>
      <rgbColor rgb="FFCC99FF"/>
      <rgbColor rgb="FFFCE4D6"/>
      <rgbColor rgb="FF2E75B6"/>
      <rgbColor rgb="FF33CCCC"/>
      <rgbColor rgb="FF99CC00"/>
      <rgbColor rgb="FFFFCC00"/>
      <rgbColor rgb="FFFF9900"/>
      <rgbColor rgb="FFED7D31"/>
      <rgbColor rgb="FF666699"/>
      <rgbColor rgb="FF969696"/>
      <rgbColor rgb="FF17375E"/>
      <rgbColor rgb="FF00B050"/>
      <rgbColor rgb="FF003300"/>
      <rgbColor rgb="FF375623"/>
      <rgbColor rgb="FFC55A11"/>
      <rgbColor rgb="FF993366"/>
      <rgbColor rgb="FF1F558B"/>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xdr:colOff>
      <xdr:row>3</xdr:row>
      <xdr:rowOff>0</xdr:rowOff>
    </xdr:from>
    <xdr:to>
      <xdr:col>17</xdr:col>
      <xdr:colOff>336551</xdr:colOff>
      <xdr:row>22</xdr:row>
      <xdr:rowOff>74681</xdr:rowOff>
    </xdr:to>
    <xdr:pic>
      <xdr:nvPicPr>
        <xdr:cNvPr id="2" name="Picture 1">
          <a:extLst>
            <a:ext uri="{FF2B5EF4-FFF2-40B4-BE49-F238E27FC236}">
              <a16:creationId xmlns:a16="http://schemas.microsoft.com/office/drawing/2014/main" id="{ECFB8B8E-A0E7-4104-BE89-820AC0BC01FD}"/>
            </a:ext>
          </a:extLst>
        </xdr:cNvPr>
        <xdr:cNvPicPr>
          <a:picLocks noChangeAspect="1"/>
        </xdr:cNvPicPr>
      </xdr:nvPicPr>
      <xdr:blipFill>
        <a:blip xmlns:r="http://schemas.openxmlformats.org/officeDocument/2006/relationships" r:embed="rId1"/>
        <a:stretch>
          <a:fillRect/>
        </a:stretch>
      </xdr:blipFill>
      <xdr:spPr>
        <a:xfrm>
          <a:off x="1828801" y="552450"/>
          <a:ext cx="8870950" cy="3573531"/>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8616CF8-71C4-48CC-85F2-350FA0394DFB}">
  <we:reference id="WA200009404" version="1.0.0.8" store="en-us" storeType="omex"/>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8"/>
  <sheetViews>
    <sheetView showGridLines="0" tabSelected="1" zoomScaleNormal="100" workbookViewId="0">
      <selection activeCell="C23" sqref="C23"/>
    </sheetView>
  </sheetViews>
  <sheetFormatPr defaultColWidth="8.5703125" defaultRowHeight="14.45"/>
  <cols>
    <col min="1" max="1" width="6" customWidth="1"/>
    <col min="2" max="2" width="22" customWidth="1"/>
    <col min="3" max="4" width="12" customWidth="1"/>
    <col min="5" max="5" width="4" customWidth="1"/>
    <col min="6" max="6" width="6" customWidth="1"/>
    <col min="7" max="7" width="22" customWidth="1"/>
    <col min="8" max="8" width="13" customWidth="1"/>
    <col min="9" max="9" width="11" customWidth="1"/>
    <col min="10" max="11" width="4" customWidth="1"/>
    <col min="12" max="12" width="6" customWidth="1"/>
    <col min="13" max="13" width="76.5703125" customWidth="1"/>
  </cols>
  <sheetData>
    <row r="1" spans="1:13" ht="30" customHeight="1">
      <c r="A1" s="54" t="s">
        <v>0</v>
      </c>
      <c r="B1" s="54"/>
      <c r="C1" s="54"/>
      <c r="D1" s="54"/>
      <c r="E1" s="54"/>
      <c r="F1" s="54"/>
      <c r="G1" s="54"/>
      <c r="H1" s="54"/>
      <c r="I1" s="54"/>
      <c r="J1" s="54"/>
      <c r="K1" s="54"/>
      <c r="L1" s="54"/>
      <c r="M1" s="54"/>
    </row>
    <row r="2" spans="1:13" ht="6" customHeight="1"/>
    <row r="3" spans="1:13" ht="15.95" customHeight="1">
      <c r="A3" s="55" t="s">
        <v>1</v>
      </c>
      <c r="B3" s="55"/>
      <c r="C3" s="55"/>
      <c r="D3" s="55"/>
      <c r="F3" s="55" t="s">
        <v>2</v>
      </c>
      <c r="G3" s="55"/>
      <c r="H3" s="55"/>
      <c r="I3" s="55"/>
      <c r="L3" s="56" t="s">
        <v>3</v>
      </c>
      <c r="M3" s="56"/>
    </row>
    <row r="4" spans="1:13" ht="21.75" customHeight="1">
      <c r="A4" s="2" t="s">
        <v>4</v>
      </c>
      <c r="B4" s="2" t="s">
        <v>1</v>
      </c>
      <c r="C4" s="2" t="s">
        <v>5</v>
      </c>
      <c r="D4" s="2"/>
      <c r="F4" s="2" t="s">
        <v>4</v>
      </c>
      <c r="G4" s="2" t="s">
        <v>6</v>
      </c>
      <c r="H4" s="2" t="s">
        <v>7</v>
      </c>
      <c r="I4" s="2" t="s">
        <v>8</v>
      </c>
      <c r="L4" s="16">
        <v>1</v>
      </c>
      <c r="M4" s="1" t="s">
        <v>9</v>
      </c>
    </row>
    <row r="5" spans="1:13" ht="14.25">
      <c r="A5" s="3">
        <v>1</v>
      </c>
      <c r="B5" s="4" t="s">
        <v>10</v>
      </c>
      <c r="C5" s="17" t="s">
        <v>11</v>
      </c>
      <c r="D5" s="4"/>
      <c r="F5" s="3">
        <v>1</v>
      </c>
      <c r="G5" s="4" t="s">
        <v>12</v>
      </c>
      <c r="H5" s="3" t="s">
        <v>13</v>
      </c>
      <c r="I5" s="12">
        <f>('AI Agent Dev- Backend'!F56+DevOps!F25)/7*0.33</f>
        <v>19.809428571428572</v>
      </c>
      <c r="L5" s="16">
        <v>2</v>
      </c>
      <c r="M5" s="1" t="s">
        <v>14</v>
      </c>
    </row>
    <row r="6" spans="1:13" ht="24">
      <c r="A6" s="3">
        <v>2</v>
      </c>
      <c r="B6" s="4" t="s">
        <v>15</v>
      </c>
      <c r="C6" s="18" t="s">
        <v>16</v>
      </c>
      <c r="D6" s="4"/>
      <c r="F6" s="3">
        <v>2</v>
      </c>
      <c r="G6" s="4" t="s">
        <v>17</v>
      </c>
      <c r="H6" s="3" t="s">
        <v>18</v>
      </c>
      <c r="I6" s="12">
        <f>('AI Agent Dev- Backend'!F56+DevOps!F25)/7*0.5</f>
        <v>30.014285714285712</v>
      </c>
      <c r="L6" s="16">
        <v>3</v>
      </c>
      <c r="M6" s="1" t="s">
        <v>19</v>
      </c>
    </row>
    <row r="7" spans="1:13" ht="14.25">
      <c r="A7" s="3">
        <v>3</v>
      </c>
      <c r="B7" s="4" t="s">
        <v>20</v>
      </c>
      <c r="C7" s="18" t="s">
        <v>16</v>
      </c>
      <c r="D7" s="4"/>
      <c r="F7" s="3">
        <v>3</v>
      </c>
      <c r="G7" s="4" t="s">
        <v>21</v>
      </c>
      <c r="H7" s="3" t="s">
        <v>22</v>
      </c>
      <c r="I7" s="12">
        <f>('AI Agent Dev- Backend'!F56+DevOps!F25)/7*1</f>
        <v>60.028571428571425</v>
      </c>
      <c r="L7" s="16">
        <v>4</v>
      </c>
      <c r="M7" s="1" t="s">
        <v>23</v>
      </c>
    </row>
    <row r="8" spans="1:13" ht="14.25">
      <c r="F8" s="3">
        <v>4</v>
      </c>
      <c r="G8" s="4" t="s">
        <v>24</v>
      </c>
      <c r="H8" s="3" t="s">
        <v>18</v>
      </c>
      <c r="I8" s="12">
        <f>('AI Agent Dev- Backend'!F56+DevOps!F25)/7*0.5</f>
        <v>30.014285714285712</v>
      </c>
      <c r="L8" s="16">
        <v>5</v>
      </c>
      <c r="M8" s="1" t="s">
        <v>25</v>
      </c>
    </row>
    <row r="9" spans="1:13" ht="18" customHeight="1">
      <c r="A9" s="55" t="s">
        <v>26</v>
      </c>
      <c r="B9" s="55"/>
      <c r="C9" s="55"/>
      <c r="D9" s="55"/>
      <c r="F9" s="3">
        <v>5</v>
      </c>
      <c r="G9" s="4" t="s">
        <v>20</v>
      </c>
      <c r="H9" s="3" t="s">
        <v>27</v>
      </c>
      <c r="I9" s="12">
        <f>('AI Agent Dev- Backend'!F56+DevOps!F25)/7*0.25</f>
        <v>15.007142857142856</v>
      </c>
      <c r="L9" s="16">
        <v>6</v>
      </c>
      <c r="M9" s="1" t="s">
        <v>28</v>
      </c>
    </row>
    <row r="10" spans="1:13" ht="24">
      <c r="A10" s="2" t="s">
        <v>4</v>
      </c>
      <c r="B10" s="2" t="s">
        <v>26</v>
      </c>
      <c r="C10" s="2"/>
      <c r="D10" s="2" t="s">
        <v>29</v>
      </c>
      <c r="L10" s="16">
        <v>7</v>
      </c>
      <c r="M10" s="1" t="s">
        <v>30</v>
      </c>
    </row>
    <row r="11" spans="1:13" ht="15">
      <c r="A11" s="3">
        <v>1</v>
      </c>
      <c r="B11" s="4" t="s">
        <v>10</v>
      </c>
      <c r="C11" s="4"/>
      <c r="D11" s="19">
        <v>0</v>
      </c>
      <c r="L11" s="16"/>
      <c r="M11" s="1"/>
    </row>
    <row r="12" spans="1:13" ht="15" customHeight="1">
      <c r="A12" s="3">
        <v>2</v>
      </c>
      <c r="B12" s="4" t="s">
        <v>15</v>
      </c>
      <c r="C12" s="4"/>
      <c r="D12" s="19">
        <f>'AI Agent Dev- Backend'!F56</f>
        <v>361.9</v>
      </c>
      <c r="F12" s="50" t="s">
        <v>31</v>
      </c>
      <c r="G12" s="50"/>
      <c r="H12" s="35">
        <f>'Infra Cost'!C37</f>
        <v>497.75</v>
      </c>
      <c r="I12" s="7"/>
    </row>
    <row r="13" spans="1:13" ht="18" customHeight="1">
      <c r="A13" s="3">
        <v>3</v>
      </c>
      <c r="B13" s="4" t="s">
        <v>20</v>
      </c>
      <c r="C13" s="4"/>
      <c r="D13" s="19">
        <f>DevOps!F25</f>
        <v>58.300000000000004</v>
      </c>
      <c r="L13" s="51" t="s">
        <v>32</v>
      </c>
      <c r="M13" s="51"/>
    </row>
    <row r="14" spans="1:13" ht="20.25" customHeight="1">
      <c r="L14" s="20">
        <v>1</v>
      </c>
      <c r="M14" s="21" t="s">
        <v>33</v>
      </c>
    </row>
    <row r="15" spans="1:13" ht="23.25" customHeight="1">
      <c r="A15" s="2"/>
      <c r="B15" s="2" t="s">
        <v>34</v>
      </c>
      <c r="C15" s="2" t="s">
        <v>35</v>
      </c>
      <c r="D15" s="2" t="s">
        <v>36</v>
      </c>
      <c r="L15" s="20">
        <v>2</v>
      </c>
      <c r="M15" s="42" t="s">
        <v>37</v>
      </c>
    </row>
    <row r="16" spans="1:13" ht="14.25">
      <c r="A16" s="3"/>
      <c r="B16" s="4" t="s">
        <v>10</v>
      </c>
      <c r="C16" s="19" t="s">
        <v>38</v>
      </c>
      <c r="D16" s="19" t="s">
        <v>38</v>
      </c>
      <c r="L16" s="20">
        <v>3</v>
      </c>
      <c r="M16" s="21" t="s">
        <v>39</v>
      </c>
    </row>
    <row r="17" spans="1:13" ht="14.25">
      <c r="A17" s="3"/>
      <c r="B17" s="4" t="s">
        <v>15</v>
      </c>
      <c r="C17" s="22">
        <f>'AI Agent Dev- Backend'!F56/7</f>
        <v>51.699999999999996</v>
      </c>
      <c r="D17" s="22">
        <f>'AI Agent Dev- Backend'!F56/35</f>
        <v>10.34</v>
      </c>
      <c r="L17" s="20">
        <v>4</v>
      </c>
      <c r="M17" s="21" t="s">
        <v>40</v>
      </c>
    </row>
    <row r="18" spans="1:13" ht="18" customHeight="1">
      <c r="A18" s="3"/>
      <c r="B18" s="4" t="s">
        <v>20</v>
      </c>
      <c r="C18" s="22">
        <f>DevOps!F25/7</f>
        <v>8.3285714285714292</v>
      </c>
      <c r="D18" s="22">
        <f>DevOps!F25/35</f>
        <v>1.6657142857142859</v>
      </c>
      <c r="L18" s="20">
        <v>5</v>
      </c>
      <c r="M18" s="21" t="s">
        <v>41</v>
      </c>
    </row>
    <row r="19" spans="1:13" ht="14.25">
      <c r="A19" s="52" t="s">
        <v>42</v>
      </c>
      <c r="B19" s="52"/>
      <c r="C19" s="4"/>
      <c r="D19" s="22">
        <f>'AI Agent Dev- Backend'!F56/35</f>
        <v>10.34</v>
      </c>
      <c r="L19" s="20">
        <v>6</v>
      </c>
      <c r="M19" s="21" t="s">
        <v>43</v>
      </c>
    </row>
    <row r="20" spans="1:13" ht="14.25">
      <c r="L20" s="20">
        <v>7</v>
      </c>
      <c r="M20" s="21" t="s">
        <v>44</v>
      </c>
    </row>
    <row r="21" spans="1:13" ht="24">
      <c r="A21" s="49" t="s">
        <v>45</v>
      </c>
      <c r="B21" s="41"/>
      <c r="C21" s="41"/>
      <c r="D21" s="41"/>
      <c r="L21" s="20">
        <v>8</v>
      </c>
      <c r="M21" s="21" t="s">
        <v>46</v>
      </c>
    </row>
    <row r="22" spans="1:13" ht="24">
      <c r="B22" s="4" t="s">
        <v>47</v>
      </c>
      <c r="C22" s="23">
        <v>0</v>
      </c>
      <c r="D22" s="3" t="s">
        <v>36</v>
      </c>
      <c r="L22" s="20">
        <v>9</v>
      </c>
      <c r="M22" s="21" t="s">
        <v>48</v>
      </c>
    </row>
    <row r="23" spans="1:13" ht="24">
      <c r="C23" s="24">
        <f>'AI Agent Dev- Backend'!F56/35+C22</f>
        <v>10.34</v>
      </c>
      <c r="D23" s="25" t="s">
        <v>36</v>
      </c>
      <c r="L23" s="20">
        <v>10</v>
      </c>
      <c r="M23" s="21" t="s">
        <v>49</v>
      </c>
    </row>
    <row r="24" spans="1:13" ht="18" customHeight="1">
      <c r="A24" s="58" t="s">
        <v>50</v>
      </c>
      <c r="B24" s="58"/>
      <c r="C24" s="58"/>
      <c r="D24" s="58"/>
      <c r="L24" s="20">
        <v>11</v>
      </c>
      <c r="M24" s="21" t="s">
        <v>51</v>
      </c>
    </row>
    <row r="25" spans="1:13" ht="14.25">
      <c r="L25" s="20">
        <v>12</v>
      </c>
      <c r="M25" s="21" t="s">
        <v>52</v>
      </c>
    </row>
    <row r="26" spans="1:13" ht="15"/>
    <row r="27" spans="1:13" ht="18" customHeight="1">
      <c r="L27" s="53" t="s">
        <v>53</v>
      </c>
      <c r="M27" s="53"/>
    </row>
    <row r="28" spans="1:13" ht="24.75" customHeight="1">
      <c r="L28" s="38">
        <v>1</v>
      </c>
      <c r="M28" s="39" t="s">
        <v>54</v>
      </c>
    </row>
    <row r="29" spans="1:13" ht="14.25">
      <c r="L29" s="38">
        <v>2</v>
      </c>
      <c r="M29" s="39" t="s">
        <v>55</v>
      </c>
    </row>
    <row r="30" spans="1:13" ht="24">
      <c r="L30" s="38">
        <v>3</v>
      </c>
      <c r="M30" s="40" t="s">
        <v>56</v>
      </c>
    </row>
    <row r="31" spans="1:13" ht="24">
      <c r="L31" s="38">
        <v>4</v>
      </c>
      <c r="M31" s="40" t="s">
        <v>57</v>
      </c>
    </row>
    <row r="32" spans="1:13" ht="24">
      <c r="L32" s="38">
        <v>5</v>
      </c>
      <c r="M32" s="40" t="s">
        <v>58</v>
      </c>
    </row>
    <row r="33" spans="12:13" ht="24">
      <c r="L33" s="38">
        <v>6</v>
      </c>
      <c r="M33" s="40" t="s">
        <v>59</v>
      </c>
    </row>
    <row r="34" spans="12:13" ht="27.75" customHeight="1">
      <c r="L34" s="38">
        <v>7</v>
      </c>
      <c r="M34" s="44" t="s">
        <v>60</v>
      </c>
    </row>
    <row r="35" spans="12:13" ht="36">
      <c r="L35" s="38">
        <v>8</v>
      </c>
      <c r="M35" s="43" t="s">
        <v>61</v>
      </c>
    </row>
    <row r="36" spans="12:13" ht="39.75" customHeight="1">
      <c r="L36" s="38">
        <v>9</v>
      </c>
      <c r="M36" s="44" t="s">
        <v>62</v>
      </c>
    </row>
    <row r="37" spans="12:13" ht="36">
      <c r="L37" s="38">
        <v>10</v>
      </c>
      <c r="M37" s="40" t="s">
        <v>63</v>
      </c>
    </row>
    <row r="38" spans="12:13" ht="49.5" customHeight="1">
      <c r="L38" s="38">
        <v>11</v>
      </c>
      <c r="M38" s="45" t="s">
        <v>64</v>
      </c>
    </row>
    <row r="39" spans="12:13" ht="36">
      <c r="L39" s="38">
        <v>12</v>
      </c>
      <c r="M39" s="40" t="s">
        <v>65</v>
      </c>
    </row>
    <row r="40" spans="12:13" ht="24">
      <c r="L40" s="38">
        <v>13</v>
      </c>
      <c r="M40" s="40" t="s">
        <v>66</v>
      </c>
    </row>
    <row r="41" spans="12:13" ht="28.5" customHeight="1">
      <c r="L41" s="38">
        <v>14</v>
      </c>
      <c r="M41" s="40" t="s">
        <v>67</v>
      </c>
    </row>
    <row r="42" spans="12:13" ht="14.25">
      <c r="L42" s="38">
        <v>15</v>
      </c>
      <c r="M42" s="46" t="s">
        <v>68</v>
      </c>
    </row>
    <row r="43" spans="12:13" ht="36">
      <c r="L43" s="38">
        <v>16</v>
      </c>
      <c r="M43" s="47" t="s">
        <v>69</v>
      </c>
    </row>
    <row r="44" spans="12:13" ht="14.25">
      <c r="L44" s="38">
        <v>17</v>
      </c>
      <c r="M44" s="39" t="s">
        <v>70</v>
      </c>
    </row>
    <row r="45" spans="12:13" ht="14.25">
      <c r="L45" s="38">
        <v>18</v>
      </c>
      <c r="M45" s="39" t="s">
        <v>71</v>
      </c>
    </row>
    <row r="46" spans="12:13" ht="14.25">
      <c r="L46" s="38">
        <v>19</v>
      </c>
      <c r="M46" s="39" t="s">
        <v>72</v>
      </c>
    </row>
    <row r="47" spans="12:13" ht="14.25">
      <c r="L47" s="38">
        <v>20</v>
      </c>
      <c r="M47" s="39" t="s">
        <v>73</v>
      </c>
    </row>
    <row r="48" spans="12:13" ht="14.25">
      <c r="L48" s="38">
        <v>21</v>
      </c>
      <c r="M48" s="39" t="s">
        <v>74</v>
      </c>
    </row>
    <row r="49" spans="6:13" ht="14.25">
      <c r="L49" s="38">
        <v>22</v>
      </c>
      <c r="M49" s="39" t="s">
        <v>75</v>
      </c>
    </row>
    <row r="50" spans="6:13" ht="14.25">
      <c r="F50" s="48"/>
      <c r="L50" s="38">
        <v>23</v>
      </c>
      <c r="M50" s="39" t="s">
        <v>76</v>
      </c>
    </row>
    <row r="52" spans="6:13" ht="18" customHeight="1">
      <c r="L52" s="59" t="s">
        <v>77</v>
      </c>
      <c r="M52" s="59"/>
    </row>
    <row r="53" spans="6:13" ht="39.950000000000003" customHeight="1">
      <c r="L53" s="26">
        <v>1</v>
      </c>
      <c r="M53" s="27" t="s">
        <v>78</v>
      </c>
    </row>
    <row r="54" spans="6:13" ht="39.950000000000003" customHeight="1">
      <c r="L54" s="26">
        <v>2</v>
      </c>
      <c r="M54" s="27" t="s">
        <v>79</v>
      </c>
    </row>
    <row r="55" spans="6:13" ht="33.950000000000003" customHeight="1">
      <c r="L55" s="26">
        <v>3</v>
      </c>
      <c r="M55" s="27" t="s">
        <v>80</v>
      </c>
    </row>
    <row r="56" spans="6:13" ht="33.950000000000003" customHeight="1">
      <c r="L56" s="26">
        <v>4</v>
      </c>
      <c r="M56" s="27" t="s">
        <v>81</v>
      </c>
    </row>
    <row r="57" spans="6:13" ht="33.950000000000003" customHeight="1">
      <c r="L57" s="26">
        <v>5</v>
      </c>
      <c r="M57" s="27" t="s">
        <v>82</v>
      </c>
    </row>
    <row r="58" spans="6:13" ht="32.1" customHeight="1">
      <c r="L58" s="26">
        <v>6</v>
      </c>
      <c r="M58" s="27" t="s">
        <v>83</v>
      </c>
    </row>
    <row r="59" spans="6:13" ht="32.1" customHeight="1">
      <c r="L59" s="26">
        <v>7</v>
      </c>
      <c r="M59" s="27" t="s">
        <v>84</v>
      </c>
    </row>
    <row r="60" spans="6:13" ht="33.6" customHeight="1">
      <c r="L60" s="26">
        <v>8</v>
      </c>
      <c r="M60" s="27" t="s">
        <v>85</v>
      </c>
    </row>
    <row r="61" spans="6:13" ht="39.950000000000003" customHeight="1">
      <c r="L61" s="26">
        <v>9</v>
      </c>
      <c r="M61" s="27" t="s">
        <v>86</v>
      </c>
    </row>
    <row r="62" spans="6:13" ht="39.950000000000003" customHeight="1">
      <c r="L62" s="26">
        <v>10</v>
      </c>
      <c r="M62" s="27" t="s">
        <v>87</v>
      </c>
    </row>
    <row r="63" spans="6:13" ht="41.45" customHeight="1">
      <c r="L63" s="26">
        <v>11</v>
      </c>
      <c r="M63" s="27" t="s">
        <v>88</v>
      </c>
    </row>
    <row r="64" spans="6:13" ht="39" customHeight="1">
      <c r="L64" s="26">
        <v>12</v>
      </c>
      <c r="M64" s="27" t="s">
        <v>89</v>
      </c>
    </row>
    <row r="66" spans="12:13" ht="18" customHeight="1">
      <c r="L66" s="56" t="s">
        <v>90</v>
      </c>
      <c r="M66" s="56"/>
    </row>
    <row r="67" spans="12:13" ht="15.75" customHeight="1">
      <c r="L67" s="57" t="s">
        <v>91</v>
      </c>
      <c r="M67" s="57"/>
    </row>
    <row r="68" spans="12:13" ht="36.6" customHeight="1">
      <c r="L68" s="3">
        <v>1</v>
      </c>
      <c r="M68" s="4" t="s">
        <v>92</v>
      </c>
    </row>
    <row r="69" spans="12:13" ht="41.1" customHeight="1">
      <c r="L69" s="3">
        <v>2</v>
      </c>
      <c r="M69" s="4" t="s">
        <v>93</v>
      </c>
    </row>
    <row r="70" spans="12:13" ht="39.950000000000003" customHeight="1">
      <c r="L70" s="3">
        <v>3</v>
      </c>
      <c r="M70" s="4" t="s">
        <v>94</v>
      </c>
    </row>
    <row r="71" spans="12:13" ht="38.1" customHeight="1">
      <c r="L71" s="3">
        <v>4</v>
      </c>
      <c r="M71" s="4" t="s">
        <v>95</v>
      </c>
    </row>
    <row r="72" spans="12:13" ht="15.75" customHeight="1">
      <c r="L72" s="57" t="s">
        <v>96</v>
      </c>
      <c r="M72" s="57"/>
    </row>
    <row r="73" spans="12:13" ht="36.950000000000003" customHeight="1">
      <c r="L73" s="3">
        <v>1</v>
      </c>
      <c r="M73" s="4" t="s">
        <v>97</v>
      </c>
    </row>
    <row r="74" spans="12:13" ht="35.450000000000003" customHeight="1">
      <c r="L74" s="3">
        <v>2</v>
      </c>
      <c r="M74" s="4" t="s">
        <v>98</v>
      </c>
    </row>
    <row r="75" spans="12:13" ht="35.1" customHeight="1">
      <c r="L75" s="3">
        <v>3</v>
      </c>
      <c r="M75" s="4" t="s">
        <v>99</v>
      </c>
    </row>
    <row r="76" spans="12:13" ht="15.75" customHeight="1">
      <c r="L76" s="57" t="s">
        <v>100</v>
      </c>
      <c r="M76" s="57"/>
    </row>
    <row r="77" spans="12:13" ht="38.450000000000003" customHeight="1">
      <c r="L77" s="3">
        <v>1</v>
      </c>
      <c r="M77" s="4" t="s">
        <v>101</v>
      </c>
    </row>
    <row r="78" spans="12:13" ht="41.45" customHeight="1">
      <c r="L78" s="3">
        <v>2</v>
      </c>
      <c r="M78" s="4" t="s">
        <v>102</v>
      </c>
    </row>
    <row r="79" spans="12:13" ht="41.45" customHeight="1">
      <c r="L79" s="3">
        <v>3</v>
      </c>
      <c r="M79" s="4" t="s">
        <v>103</v>
      </c>
    </row>
    <row r="80" spans="12:13" ht="18" customHeight="1">
      <c r="L80" s="3">
        <v>4</v>
      </c>
      <c r="M80" s="4" t="s">
        <v>104</v>
      </c>
    </row>
    <row r="81" spans="12:13" ht="15.75" customHeight="1">
      <c r="L81" s="57" t="s">
        <v>105</v>
      </c>
      <c r="M81" s="57"/>
    </row>
    <row r="82" spans="12:13" ht="37.5" customHeight="1">
      <c r="L82" s="3">
        <v>1</v>
      </c>
      <c r="M82" s="4" t="s">
        <v>106</v>
      </c>
    </row>
    <row r="83" spans="12:13" ht="33.950000000000003" customHeight="1">
      <c r="L83" s="3">
        <v>2</v>
      </c>
      <c r="M83" s="4" t="s">
        <v>107</v>
      </c>
    </row>
    <row r="84" spans="12:13" ht="36.950000000000003" customHeight="1">
      <c r="L84" s="3">
        <v>3</v>
      </c>
      <c r="M84" s="4" t="s">
        <v>108</v>
      </c>
    </row>
    <row r="85" spans="12:13" ht="30.6" customHeight="1">
      <c r="L85" s="3">
        <v>4</v>
      </c>
      <c r="M85" s="4" t="s">
        <v>109</v>
      </c>
    </row>
    <row r="86" spans="12:13" ht="24" customHeight="1">
      <c r="L86" s="57" t="s">
        <v>110</v>
      </c>
      <c r="M86" s="57"/>
    </row>
    <row r="87" spans="12:13" ht="36" customHeight="1">
      <c r="L87" s="3">
        <v>1</v>
      </c>
      <c r="M87" s="4" t="s">
        <v>111</v>
      </c>
    </row>
    <row r="88" spans="12:13" ht="36.950000000000003" customHeight="1">
      <c r="L88" s="3">
        <v>2</v>
      </c>
      <c r="M88" s="4" t="s">
        <v>112</v>
      </c>
    </row>
    <row r="89" spans="12:13" ht="35.1" customHeight="1">
      <c r="L89" s="3">
        <v>4</v>
      </c>
      <c r="M89" s="4" t="s">
        <v>113</v>
      </c>
    </row>
    <row r="90" spans="12:13" ht="35.1" customHeight="1">
      <c r="L90" s="3">
        <v>5</v>
      </c>
      <c r="M90" s="4" t="s">
        <v>114</v>
      </c>
    </row>
    <row r="91" spans="12:13" ht="15.75" customHeight="1">
      <c r="L91" s="57" t="s">
        <v>115</v>
      </c>
      <c r="M91" s="57"/>
    </row>
    <row r="92" spans="12:13" ht="32.1" customHeight="1">
      <c r="L92" s="3">
        <v>1</v>
      </c>
      <c r="M92" s="4" t="s">
        <v>116</v>
      </c>
    </row>
    <row r="93" spans="12:13" ht="39.6" customHeight="1">
      <c r="L93" s="3">
        <v>2</v>
      </c>
      <c r="M93" s="4" t="s">
        <v>117</v>
      </c>
    </row>
    <row r="94" spans="12:13" ht="30.6" customHeight="1">
      <c r="L94" s="3">
        <v>3</v>
      </c>
      <c r="M94" s="4" t="s">
        <v>118</v>
      </c>
    </row>
    <row r="95" spans="12:13" ht="23.1" customHeight="1"/>
    <row r="96" spans="12:13" ht="15"/>
    <row r="97" ht="15"/>
    <row r="98" ht="15"/>
  </sheetData>
  <mergeCells count="18">
    <mergeCell ref="L76:M76"/>
    <mergeCell ref="L81:M81"/>
    <mergeCell ref="L86:M86"/>
    <mergeCell ref="L91:M91"/>
    <mergeCell ref="A24:D24"/>
    <mergeCell ref="L52:M52"/>
    <mergeCell ref="L66:M66"/>
    <mergeCell ref="L67:M67"/>
    <mergeCell ref="L72:M72"/>
    <mergeCell ref="F12:G12"/>
    <mergeCell ref="L13:M13"/>
    <mergeCell ref="A19:B19"/>
    <mergeCell ref="L27:M27"/>
    <mergeCell ref="A1:M1"/>
    <mergeCell ref="A3:D3"/>
    <mergeCell ref="F3:I3"/>
    <mergeCell ref="L3:M3"/>
    <mergeCell ref="A9:D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2"/>
  <sheetViews>
    <sheetView showGridLines="0" topLeftCell="A36" zoomScaleNormal="100" workbookViewId="0">
      <selection activeCell="A51" sqref="A51:XFD51"/>
    </sheetView>
  </sheetViews>
  <sheetFormatPr defaultColWidth="8.5703125" defaultRowHeight="14.45"/>
  <cols>
    <col min="1" max="1" width="5" customWidth="1"/>
    <col min="2" max="2" width="28" customWidth="1"/>
    <col min="3" max="3" width="45" customWidth="1"/>
    <col min="4" max="5" width="14" customWidth="1"/>
    <col min="6" max="6" width="12" customWidth="1"/>
    <col min="7" max="7" width="42" customWidth="1"/>
  </cols>
  <sheetData>
    <row r="1" spans="1:7" ht="30" customHeight="1">
      <c r="A1" s="54" t="s">
        <v>119</v>
      </c>
      <c r="B1" s="54"/>
      <c r="C1" s="54"/>
      <c r="D1" s="54"/>
      <c r="E1" s="54"/>
      <c r="F1" s="54"/>
      <c r="G1" s="54"/>
    </row>
    <row r="2" spans="1:7" ht="4.5" customHeight="1"/>
    <row r="3" spans="1:7" ht="19.5" customHeight="1">
      <c r="A3" s="2" t="s">
        <v>5</v>
      </c>
      <c r="B3" s="2" t="s">
        <v>120</v>
      </c>
      <c r="C3" s="2" t="s">
        <v>121</v>
      </c>
      <c r="D3" s="2" t="s">
        <v>122</v>
      </c>
      <c r="E3" s="2" t="s">
        <v>123</v>
      </c>
      <c r="F3" s="2" t="s">
        <v>124</v>
      </c>
      <c r="G3" s="2" t="s">
        <v>125</v>
      </c>
    </row>
    <row r="4" spans="1:7" ht="24" customHeight="1">
      <c r="A4" s="60" t="s">
        <v>126</v>
      </c>
      <c r="B4" s="60"/>
      <c r="C4" s="60"/>
      <c r="D4" s="8">
        <f>SUM(D5:D11)</f>
        <v>56</v>
      </c>
      <c r="E4" s="8">
        <f>SUM(E5:E11)</f>
        <v>78</v>
      </c>
      <c r="F4" s="9">
        <f t="shared" ref="F4:F11" si="0">(D4+E4)/2</f>
        <v>67</v>
      </c>
      <c r="G4" s="10"/>
    </row>
    <row r="5" spans="1:7" ht="30" customHeight="1">
      <c r="A5" s="3">
        <v>1</v>
      </c>
      <c r="B5" s="4"/>
      <c r="C5" s="4" t="s">
        <v>127</v>
      </c>
      <c r="D5" s="11">
        <v>8</v>
      </c>
      <c r="E5" s="11">
        <v>10</v>
      </c>
      <c r="F5" s="12">
        <f t="shared" si="0"/>
        <v>9</v>
      </c>
      <c r="G5" s="4" t="s">
        <v>128</v>
      </c>
    </row>
    <row r="6" spans="1:7" ht="30" customHeight="1">
      <c r="A6" s="3">
        <v>2</v>
      </c>
      <c r="B6" s="4"/>
      <c r="C6" s="4" t="s">
        <v>129</v>
      </c>
      <c r="D6" s="11">
        <v>8</v>
      </c>
      <c r="E6" s="11">
        <v>12</v>
      </c>
      <c r="F6" s="12">
        <f t="shared" si="0"/>
        <v>10</v>
      </c>
      <c r="G6" s="4" t="s">
        <v>130</v>
      </c>
    </row>
    <row r="7" spans="1:7" ht="30" customHeight="1">
      <c r="A7" s="3">
        <v>3</v>
      </c>
      <c r="B7" s="4"/>
      <c r="C7" s="4" t="s">
        <v>131</v>
      </c>
      <c r="D7" s="11">
        <v>8</v>
      </c>
      <c r="E7" s="11">
        <v>12</v>
      </c>
      <c r="F7" s="12">
        <f t="shared" si="0"/>
        <v>10</v>
      </c>
      <c r="G7" s="4" t="s">
        <v>132</v>
      </c>
    </row>
    <row r="8" spans="1:7" ht="30" customHeight="1">
      <c r="A8" s="3">
        <v>4</v>
      </c>
      <c r="B8" s="4"/>
      <c r="C8" s="4" t="s">
        <v>133</v>
      </c>
      <c r="D8" s="11">
        <v>4</v>
      </c>
      <c r="E8" s="11">
        <v>6</v>
      </c>
      <c r="F8" s="12">
        <f t="shared" si="0"/>
        <v>5</v>
      </c>
      <c r="G8" s="4" t="s">
        <v>134</v>
      </c>
    </row>
    <row r="9" spans="1:7" ht="30" customHeight="1">
      <c r="A9" s="3">
        <v>5</v>
      </c>
      <c r="B9" s="4"/>
      <c r="C9" s="4" t="s">
        <v>135</v>
      </c>
      <c r="D9" s="11">
        <v>12</v>
      </c>
      <c r="E9" s="11">
        <v>16</v>
      </c>
      <c r="F9" s="12">
        <f t="shared" si="0"/>
        <v>14</v>
      </c>
      <c r="G9" s="4" t="s">
        <v>136</v>
      </c>
    </row>
    <row r="10" spans="1:7" ht="30" customHeight="1">
      <c r="A10" s="3">
        <v>6</v>
      </c>
      <c r="B10" s="4"/>
      <c r="C10" s="4" t="s">
        <v>137</v>
      </c>
      <c r="D10" s="11">
        <v>8</v>
      </c>
      <c r="E10" s="11">
        <v>12</v>
      </c>
      <c r="F10" s="12">
        <f t="shared" si="0"/>
        <v>10</v>
      </c>
      <c r="G10" s="4" t="s">
        <v>138</v>
      </c>
    </row>
    <row r="11" spans="1:7" ht="30" customHeight="1">
      <c r="A11" s="3">
        <v>7</v>
      </c>
      <c r="B11" s="4"/>
      <c r="C11" s="4" t="s">
        <v>139</v>
      </c>
      <c r="D11" s="11">
        <v>8</v>
      </c>
      <c r="E11" s="11">
        <v>10</v>
      </c>
      <c r="F11" s="12">
        <f t="shared" si="0"/>
        <v>9</v>
      </c>
      <c r="G11" s="4" t="s">
        <v>140</v>
      </c>
    </row>
    <row r="12" spans="1:7" ht="7.5" customHeight="1"/>
    <row r="13" spans="1:7" ht="24" customHeight="1">
      <c r="A13" s="60" t="s">
        <v>141</v>
      </c>
      <c r="B13" s="60"/>
      <c r="C13" s="60"/>
      <c r="D13" s="8">
        <f>SUM(D14:D20)</f>
        <v>74</v>
      </c>
      <c r="E13" s="8">
        <f>SUM(E14:E20)</f>
        <v>104</v>
      </c>
      <c r="F13" s="9">
        <f t="shared" ref="F13:F20" si="1">(D13+E13)/2</f>
        <v>89</v>
      </c>
      <c r="G13" s="10"/>
    </row>
    <row r="14" spans="1:7" ht="30" customHeight="1">
      <c r="A14" s="3">
        <v>8</v>
      </c>
      <c r="B14" s="4"/>
      <c r="C14" s="4" t="s">
        <v>142</v>
      </c>
      <c r="D14" s="11">
        <v>6</v>
      </c>
      <c r="E14" s="11">
        <v>10</v>
      </c>
      <c r="F14" s="12">
        <f t="shared" si="1"/>
        <v>8</v>
      </c>
      <c r="G14" s="4" t="s">
        <v>143</v>
      </c>
    </row>
    <row r="15" spans="1:7" ht="30" customHeight="1">
      <c r="A15" s="3">
        <v>9</v>
      </c>
      <c r="B15" s="4"/>
      <c r="C15" s="4" t="s">
        <v>144</v>
      </c>
      <c r="D15" s="11">
        <v>10</v>
      </c>
      <c r="E15" s="11">
        <v>14</v>
      </c>
      <c r="F15" s="12">
        <f t="shared" si="1"/>
        <v>12</v>
      </c>
      <c r="G15" s="4" t="s">
        <v>145</v>
      </c>
    </row>
    <row r="16" spans="1:7" ht="30" customHeight="1">
      <c r="A16" s="3">
        <v>10</v>
      </c>
      <c r="B16" s="4"/>
      <c r="C16" s="4" t="s">
        <v>146</v>
      </c>
      <c r="D16" s="11">
        <v>10</v>
      </c>
      <c r="E16" s="11">
        <v>14</v>
      </c>
      <c r="F16" s="12">
        <f t="shared" si="1"/>
        <v>12</v>
      </c>
      <c r="G16" s="4" t="s">
        <v>147</v>
      </c>
    </row>
    <row r="17" spans="1:7" ht="30" customHeight="1">
      <c r="A17" s="3">
        <v>11</v>
      </c>
      <c r="B17" s="4"/>
      <c r="C17" s="4" t="s">
        <v>148</v>
      </c>
      <c r="D17" s="11">
        <v>6</v>
      </c>
      <c r="E17" s="11">
        <v>10</v>
      </c>
      <c r="F17" s="12">
        <f t="shared" si="1"/>
        <v>8</v>
      </c>
      <c r="G17" s="4" t="s">
        <v>149</v>
      </c>
    </row>
    <row r="18" spans="1:7" ht="30" customHeight="1">
      <c r="A18" s="3">
        <v>12</v>
      </c>
      <c r="B18" s="4"/>
      <c r="C18" s="4" t="s">
        <v>150</v>
      </c>
      <c r="D18" s="11">
        <v>14</v>
      </c>
      <c r="E18" s="11">
        <v>18</v>
      </c>
      <c r="F18" s="12">
        <f t="shared" si="1"/>
        <v>16</v>
      </c>
      <c r="G18" s="4" t="s">
        <v>151</v>
      </c>
    </row>
    <row r="19" spans="1:7" ht="30" customHeight="1">
      <c r="A19" s="3">
        <v>13</v>
      </c>
      <c r="B19" s="4"/>
      <c r="C19" s="4" t="s">
        <v>152</v>
      </c>
      <c r="D19" s="11">
        <v>12</v>
      </c>
      <c r="E19" s="11">
        <v>16</v>
      </c>
      <c r="F19" s="12">
        <f t="shared" si="1"/>
        <v>14</v>
      </c>
      <c r="G19" s="4"/>
    </row>
    <row r="20" spans="1:7" ht="30" customHeight="1">
      <c r="A20" s="3">
        <v>14</v>
      </c>
      <c r="B20" s="4"/>
      <c r="C20" s="4" t="s">
        <v>153</v>
      </c>
      <c r="D20" s="11">
        <v>16</v>
      </c>
      <c r="E20" s="11">
        <v>22</v>
      </c>
      <c r="F20" s="12">
        <f t="shared" si="1"/>
        <v>19</v>
      </c>
      <c r="G20" s="4"/>
    </row>
    <row r="21" spans="1:7" ht="7.5" customHeight="1"/>
    <row r="22" spans="1:7" ht="24" customHeight="1">
      <c r="A22" s="60" t="s">
        <v>154</v>
      </c>
      <c r="B22" s="60"/>
      <c r="C22" s="60"/>
      <c r="D22" s="8">
        <f>SUM(D23:D32)</f>
        <v>68</v>
      </c>
      <c r="E22" s="8">
        <f>SUM(E23:E32)</f>
        <v>98</v>
      </c>
      <c r="F22" s="9">
        <f t="shared" ref="F22:F32" si="2">(D22+E22)/2</f>
        <v>83</v>
      </c>
      <c r="G22" s="10"/>
    </row>
    <row r="23" spans="1:7" ht="30" customHeight="1">
      <c r="A23" s="3">
        <v>17</v>
      </c>
      <c r="B23" s="4"/>
      <c r="C23" s="4" t="s">
        <v>155</v>
      </c>
      <c r="D23" s="11">
        <v>10</v>
      </c>
      <c r="E23" s="11">
        <v>14</v>
      </c>
      <c r="F23" s="12">
        <f t="shared" si="2"/>
        <v>12</v>
      </c>
      <c r="G23" s="4" t="s">
        <v>156</v>
      </c>
    </row>
    <row r="24" spans="1:7" ht="30" customHeight="1">
      <c r="A24" s="3">
        <v>18</v>
      </c>
      <c r="B24" s="4"/>
      <c r="C24" s="4" t="s">
        <v>157</v>
      </c>
      <c r="D24" s="11">
        <v>10</v>
      </c>
      <c r="E24" s="11">
        <v>14</v>
      </c>
      <c r="F24" s="12">
        <f t="shared" si="2"/>
        <v>12</v>
      </c>
      <c r="G24" s="4" t="s">
        <v>158</v>
      </c>
    </row>
    <row r="25" spans="1:7" ht="30" customHeight="1">
      <c r="A25" s="3">
        <v>19</v>
      </c>
      <c r="B25" s="4"/>
      <c r="C25" s="4" t="s">
        <v>159</v>
      </c>
      <c r="D25" s="11">
        <v>6</v>
      </c>
      <c r="E25" s="11">
        <v>8</v>
      </c>
      <c r="F25" s="12">
        <f t="shared" si="2"/>
        <v>7</v>
      </c>
      <c r="G25" s="4" t="s">
        <v>160</v>
      </c>
    </row>
    <row r="26" spans="1:7" ht="30" customHeight="1">
      <c r="A26" s="3">
        <v>20</v>
      </c>
      <c r="B26" s="4"/>
      <c r="C26" s="4" t="s">
        <v>161</v>
      </c>
      <c r="D26" s="11">
        <v>10</v>
      </c>
      <c r="E26" s="11">
        <v>14</v>
      </c>
      <c r="F26" s="12">
        <f t="shared" si="2"/>
        <v>12</v>
      </c>
      <c r="G26" s="4" t="s">
        <v>162</v>
      </c>
    </row>
    <row r="27" spans="1:7" ht="30" customHeight="1">
      <c r="A27" s="3">
        <v>21</v>
      </c>
      <c r="B27" s="4"/>
      <c r="C27" s="4" t="s">
        <v>163</v>
      </c>
      <c r="D27" s="11">
        <v>8</v>
      </c>
      <c r="E27" s="11">
        <v>12</v>
      </c>
      <c r="F27" s="12">
        <f t="shared" si="2"/>
        <v>10</v>
      </c>
      <c r="G27" s="4" t="s">
        <v>164</v>
      </c>
    </row>
    <row r="28" spans="1:7" ht="30" customHeight="1">
      <c r="A28" s="3">
        <v>22</v>
      </c>
      <c r="B28" s="4"/>
      <c r="C28" s="4" t="s">
        <v>165</v>
      </c>
      <c r="D28" s="11">
        <v>6</v>
      </c>
      <c r="E28" s="11">
        <v>8</v>
      </c>
      <c r="F28" s="12">
        <f t="shared" si="2"/>
        <v>7</v>
      </c>
      <c r="G28" s="4" t="s">
        <v>166</v>
      </c>
    </row>
    <row r="29" spans="1:7" ht="30" customHeight="1">
      <c r="A29" s="3">
        <v>23</v>
      </c>
      <c r="B29" s="4"/>
      <c r="C29" s="4" t="s">
        <v>167</v>
      </c>
      <c r="D29" s="11">
        <v>6</v>
      </c>
      <c r="E29" s="11">
        <v>8</v>
      </c>
      <c r="F29" s="12">
        <f t="shared" si="2"/>
        <v>7</v>
      </c>
      <c r="G29" s="4"/>
    </row>
    <row r="30" spans="1:7" ht="30" customHeight="1">
      <c r="A30" s="3">
        <v>24</v>
      </c>
      <c r="B30" s="4"/>
      <c r="C30" s="4" t="s">
        <v>168</v>
      </c>
      <c r="D30" s="11">
        <v>4</v>
      </c>
      <c r="E30" s="11">
        <v>6</v>
      </c>
      <c r="F30" s="12">
        <f t="shared" si="2"/>
        <v>5</v>
      </c>
      <c r="G30" s="4"/>
    </row>
    <row r="31" spans="1:7" ht="30" customHeight="1">
      <c r="A31" s="3">
        <v>25</v>
      </c>
      <c r="B31" s="4"/>
      <c r="C31" s="4" t="s">
        <v>169</v>
      </c>
      <c r="D31" s="11">
        <v>4</v>
      </c>
      <c r="E31" s="11">
        <v>8</v>
      </c>
      <c r="F31" s="12">
        <f t="shared" si="2"/>
        <v>6</v>
      </c>
      <c r="G31" s="4" t="s">
        <v>170</v>
      </c>
    </row>
    <row r="32" spans="1:7" ht="30" customHeight="1">
      <c r="A32" s="3">
        <v>26</v>
      </c>
      <c r="B32" s="4"/>
      <c r="C32" s="4" t="s">
        <v>171</v>
      </c>
      <c r="D32" s="11">
        <v>4</v>
      </c>
      <c r="E32" s="11">
        <v>6</v>
      </c>
      <c r="F32" s="12">
        <f t="shared" si="2"/>
        <v>5</v>
      </c>
      <c r="G32" s="4" t="s">
        <v>172</v>
      </c>
    </row>
    <row r="33" spans="1:7" ht="7.5" customHeight="1"/>
    <row r="34" spans="1:7" ht="24" customHeight="1">
      <c r="A34" s="60" t="s">
        <v>173</v>
      </c>
      <c r="B34" s="60"/>
      <c r="C34" s="60"/>
      <c r="D34" s="8">
        <f>SUM(D35:D39)</f>
        <v>28</v>
      </c>
      <c r="E34" s="8">
        <f>SUM(E35:E39)</f>
        <v>42</v>
      </c>
      <c r="F34" s="9">
        <f t="shared" ref="F34:F39" si="3">(D34+E34)/2</f>
        <v>35</v>
      </c>
      <c r="G34" s="10"/>
    </row>
    <row r="35" spans="1:7" ht="30" customHeight="1">
      <c r="A35" s="3">
        <v>28</v>
      </c>
      <c r="B35" s="4"/>
      <c r="C35" s="4" t="s">
        <v>174</v>
      </c>
      <c r="D35" s="11">
        <v>10</v>
      </c>
      <c r="E35" s="11">
        <v>14</v>
      </c>
      <c r="F35" s="12">
        <f t="shared" si="3"/>
        <v>12</v>
      </c>
      <c r="G35" s="4" t="s">
        <v>175</v>
      </c>
    </row>
    <row r="36" spans="1:7" ht="30" customHeight="1">
      <c r="A36" s="3">
        <v>29</v>
      </c>
      <c r="B36" s="4"/>
      <c r="C36" s="4" t="s">
        <v>176</v>
      </c>
      <c r="D36" s="11">
        <v>4</v>
      </c>
      <c r="E36" s="11">
        <v>6</v>
      </c>
      <c r="F36" s="12">
        <f t="shared" si="3"/>
        <v>5</v>
      </c>
      <c r="G36" s="4" t="s">
        <v>177</v>
      </c>
    </row>
    <row r="37" spans="1:7" ht="30" customHeight="1">
      <c r="A37" s="3">
        <v>30</v>
      </c>
      <c r="B37" s="4"/>
      <c r="C37" s="4" t="s">
        <v>178</v>
      </c>
      <c r="D37" s="11">
        <v>6</v>
      </c>
      <c r="E37" s="11">
        <v>8</v>
      </c>
      <c r="F37" s="12">
        <f t="shared" si="3"/>
        <v>7</v>
      </c>
      <c r="G37" s="4" t="s">
        <v>179</v>
      </c>
    </row>
    <row r="38" spans="1:7" ht="30" customHeight="1">
      <c r="A38" s="3">
        <v>31</v>
      </c>
      <c r="B38" s="4"/>
      <c r="C38" s="4" t="s">
        <v>180</v>
      </c>
      <c r="D38" s="11">
        <v>4</v>
      </c>
      <c r="E38" s="11">
        <v>6</v>
      </c>
      <c r="F38" s="12">
        <f t="shared" si="3"/>
        <v>5</v>
      </c>
      <c r="G38" s="4" t="s">
        <v>181</v>
      </c>
    </row>
    <row r="39" spans="1:7" ht="30" customHeight="1">
      <c r="A39" s="3">
        <v>32</v>
      </c>
      <c r="B39" s="4"/>
      <c r="C39" s="4" t="s">
        <v>182</v>
      </c>
      <c r="D39" s="11">
        <v>4</v>
      </c>
      <c r="E39" s="11">
        <v>8</v>
      </c>
      <c r="F39" s="12">
        <f t="shared" si="3"/>
        <v>6</v>
      </c>
      <c r="G39" s="4" t="s">
        <v>183</v>
      </c>
    </row>
    <row r="40" spans="1:7" ht="7.5" customHeight="1"/>
    <row r="41" spans="1:7" ht="24" customHeight="1">
      <c r="A41" s="60" t="s">
        <v>184</v>
      </c>
      <c r="B41" s="60"/>
      <c r="C41" s="60"/>
      <c r="D41" s="8">
        <f>SUM(D42:D48)</f>
        <v>36</v>
      </c>
      <c r="E41" s="8">
        <f>SUM(E42:E48)</f>
        <v>54</v>
      </c>
      <c r="F41" s="9">
        <f t="shared" ref="F41:F48" si="4">(D41+E41)/2</f>
        <v>45</v>
      </c>
      <c r="G41" s="10"/>
    </row>
    <row r="42" spans="1:7" ht="30" customHeight="1">
      <c r="A42" s="3">
        <v>33</v>
      </c>
      <c r="B42" s="4"/>
      <c r="C42" s="4" t="s">
        <v>185</v>
      </c>
      <c r="D42" s="11">
        <v>6</v>
      </c>
      <c r="E42" s="11">
        <v>10</v>
      </c>
      <c r="F42" s="12">
        <f t="shared" si="4"/>
        <v>8</v>
      </c>
      <c r="G42" s="4" t="s">
        <v>186</v>
      </c>
    </row>
    <row r="43" spans="1:7" ht="30" customHeight="1">
      <c r="A43" s="3">
        <v>34</v>
      </c>
      <c r="B43" s="4"/>
      <c r="C43" s="4" t="s">
        <v>187</v>
      </c>
      <c r="D43" s="11">
        <v>6</v>
      </c>
      <c r="E43" s="11">
        <v>10</v>
      </c>
      <c r="F43" s="12">
        <f t="shared" si="4"/>
        <v>8</v>
      </c>
      <c r="G43" s="4" t="s">
        <v>188</v>
      </c>
    </row>
    <row r="44" spans="1:7" ht="30" customHeight="1">
      <c r="A44" s="3">
        <v>35</v>
      </c>
      <c r="B44" s="4"/>
      <c r="C44" s="4" t="s">
        <v>189</v>
      </c>
      <c r="D44" s="11">
        <v>8</v>
      </c>
      <c r="E44" s="11">
        <v>12</v>
      </c>
      <c r="F44" s="12">
        <f t="shared" si="4"/>
        <v>10</v>
      </c>
      <c r="G44" s="4" t="s">
        <v>190</v>
      </c>
    </row>
    <row r="45" spans="1:7" ht="30" customHeight="1">
      <c r="A45" s="3">
        <v>37</v>
      </c>
      <c r="B45" s="4"/>
      <c r="C45" s="4" t="s">
        <v>191</v>
      </c>
      <c r="D45" s="11">
        <v>4</v>
      </c>
      <c r="E45" s="11">
        <v>6</v>
      </c>
      <c r="F45" s="12">
        <f t="shared" si="4"/>
        <v>5</v>
      </c>
      <c r="G45" s="4" t="s">
        <v>192</v>
      </c>
    </row>
    <row r="46" spans="1:7" ht="30" customHeight="1">
      <c r="A46" s="3">
        <v>38</v>
      </c>
      <c r="B46" s="4"/>
      <c r="C46" s="4" t="s">
        <v>193</v>
      </c>
      <c r="D46" s="11">
        <v>4</v>
      </c>
      <c r="E46" s="11">
        <v>6</v>
      </c>
      <c r="F46" s="12">
        <f t="shared" si="4"/>
        <v>5</v>
      </c>
      <c r="G46" s="4"/>
    </row>
    <row r="47" spans="1:7" ht="30" customHeight="1">
      <c r="A47" s="3">
        <v>39</v>
      </c>
      <c r="B47" s="4"/>
      <c r="C47" s="4" t="s">
        <v>194</v>
      </c>
      <c r="D47" s="11">
        <v>4</v>
      </c>
      <c r="E47" s="11">
        <v>6</v>
      </c>
      <c r="F47" s="12">
        <f t="shared" si="4"/>
        <v>5</v>
      </c>
      <c r="G47" s="4" t="s">
        <v>195</v>
      </c>
    </row>
    <row r="48" spans="1:7" ht="30" customHeight="1">
      <c r="A48" s="3">
        <v>40</v>
      </c>
      <c r="B48" s="4"/>
      <c r="C48" s="4" t="s">
        <v>196</v>
      </c>
      <c r="D48" s="11">
        <v>4</v>
      </c>
      <c r="E48" s="11">
        <v>4</v>
      </c>
      <c r="F48" s="12">
        <f t="shared" si="4"/>
        <v>4</v>
      </c>
      <c r="G48" s="4" t="s">
        <v>197</v>
      </c>
    </row>
    <row r="49" spans="1:7" ht="7.5" customHeight="1"/>
    <row r="50" spans="1:7" ht="24" customHeight="1">
      <c r="A50" s="60" t="s">
        <v>198</v>
      </c>
      <c r="B50" s="60"/>
      <c r="C50" s="60"/>
      <c r="D50" s="8">
        <f>SUM(D51:D53)</f>
        <v>8</v>
      </c>
      <c r="E50" s="8">
        <f>SUM(E51:E53)</f>
        <v>12</v>
      </c>
      <c r="F50" s="9">
        <f t="shared" ref="F50:F53" si="5">(D50+E50)/2</f>
        <v>10</v>
      </c>
      <c r="G50" s="10"/>
    </row>
    <row r="51" spans="1:7" ht="30" customHeight="1">
      <c r="A51" s="3">
        <v>43</v>
      </c>
      <c r="B51" s="4"/>
      <c r="C51" s="4" t="s">
        <v>199</v>
      </c>
      <c r="D51" s="11">
        <v>4</v>
      </c>
      <c r="E51" s="11">
        <v>6</v>
      </c>
      <c r="F51" s="12">
        <f t="shared" si="5"/>
        <v>5</v>
      </c>
      <c r="G51" s="4" t="s">
        <v>200</v>
      </c>
    </row>
    <row r="52" spans="1:7" ht="30" customHeight="1">
      <c r="A52" s="3">
        <v>44</v>
      </c>
      <c r="B52" s="4"/>
      <c r="C52" s="4" t="s">
        <v>201</v>
      </c>
      <c r="D52" s="11">
        <v>2</v>
      </c>
      <c r="E52" s="11">
        <v>4</v>
      </c>
      <c r="F52" s="12">
        <f t="shared" si="5"/>
        <v>3</v>
      </c>
      <c r="G52" s="4" t="s">
        <v>202</v>
      </c>
    </row>
    <row r="53" spans="1:7" ht="30" customHeight="1">
      <c r="A53" s="3">
        <v>45</v>
      </c>
      <c r="B53" s="4"/>
      <c r="C53" s="4" t="s">
        <v>203</v>
      </c>
      <c r="D53" s="11">
        <v>2</v>
      </c>
      <c r="E53" s="11">
        <v>2</v>
      </c>
      <c r="F53" s="12">
        <f t="shared" si="5"/>
        <v>2</v>
      </c>
      <c r="G53" s="4" t="s">
        <v>204</v>
      </c>
    </row>
    <row r="54" spans="1:7" ht="7.5" customHeight="1"/>
    <row r="55" spans="1:7" ht="19.5" customHeight="1">
      <c r="A55" s="61" t="s">
        <v>205</v>
      </c>
      <c r="B55" s="61"/>
      <c r="C55" s="61"/>
      <c r="D55" s="13">
        <f>(D4+D13+D22+D34+D41+D50)*0.1</f>
        <v>27</v>
      </c>
      <c r="E55" s="13">
        <f>(E4+E13+E22+E34+E41+E50)*0.1</f>
        <v>38.800000000000004</v>
      </c>
      <c r="F55" s="13">
        <f>(D55+E55)/2</f>
        <v>32.900000000000006</v>
      </c>
      <c r="G55" s="1" t="s">
        <v>206</v>
      </c>
    </row>
    <row r="56" spans="1:7" ht="21.75" customHeight="1">
      <c r="A56" s="62" t="s">
        <v>207</v>
      </c>
      <c r="B56" s="62"/>
      <c r="C56" s="62"/>
      <c r="D56" s="14">
        <f>D4+D13+D22+D34+D41+D50+D55</f>
        <v>297</v>
      </c>
      <c r="E56" s="14">
        <f>E4+E13+E22+E34+E41+E50+E55</f>
        <v>426.8</v>
      </c>
      <c r="F56" s="15">
        <f>(D56+E56)/2</f>
        <v>361.9</v>
      </c>
      <c r="G56" s="6" t="s">
        <v>208</v>
      </c>
    </row>
    <row r="57" spans="1:7" ht="15"/>
    <row r="58" spans="1:7" ht="15"/>
    <row r="59" spans="1:7" ht="15"/>
    <row r="60" spans="1:7" ht="15"/>
    <row r="61" spans="1:7" ht="15"/>
    <row r="62" spans="1:7" ht="15"/>
  </sheetData>
  <mergeCells count="9">
    <mergeCell ref="A41:C41"/>
    <mergeCell ref="A50:C50"/>
    <mergeCell ref="A55:C55"/>
    <mergeCell ref="A56:C56"/>
    <mergeCell ref="A1:G1"/>
    <mergeCell ref="A4:C4"/>
    <mergeCell ref="A13:C13"/>
    <mergeCell ref="A22:C22"/>
    <mergeCell ref="A34:C3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5"/>
  <sheetViews>
    <sheetView showGridLines="0" topLeftCell="A7" zoomScaleNormal="100" workbookViewId="0">
      <selection activeCell="D11" sqref="D11"/>
    </sheetView>
  </sheetViews>
  <sheetFormatPr defaultColWidth="8.5703125" defaultRowHeight="14.45"/>
  <cols>
    <col min="1" max="1" width="5" customWidth="1"/>
    <col min="2" max="2" width="28" customWidth="1"/>
    <col min="3" max="3" width="45" customWidth="1"/>
    <col min="4" max="5" width="14" customWidth="1"/>
    <col min="6" max="6" width="12" customWidth="1"/>
    <col min="7" max="7" width="42" customWidth="1"/>
  </cols>
  <sheetData>
    <row r="1" spans="1:7" ht="30" customHeight="1">
      <c r="A1" s="54" t="s">
        <v>209</v>
      </c>
      <c r="B1" s="54"/>
      <c r="C1" s="54"/>
      <c r="D1" s="54"/>
      <c r="E1" s="54"/>
      <c r="F1" s="54"/>
      <c r="G1" s="54"/>
    </row>
    <row r="2" spans="1:7" ht="4.5" customHeight="1"/>
    <row r="3" spans="1:7" ht="19.5" customHeight="1">
      <c r="A3" s="2" t="s">
        <v>5</v>
      </c>
      <c r="B3" s="2" t="s">
        <v>120</v>
      </c>
      <c r="C3" s="2" t="s">
        <v>121</v>
      </c>
      <c r="D3" s="2" t="s">
        <v>122</v>
      </c>
      <c r="E3" s="2" t="s">
        <v>123</v>
      </c>
      <c r="F3" s="2" t="s">
        <v>124</v>
      </c>
      <c r="G3" s="2" t="s">
        <v>125</v>
      </c>
    </row>
    <row r="4" spans="1:7" ht="24" customHeight="1">
      <c r="A4" s="60" t="s">
        <v>210</v>
      </c>
      <c r="B4" s="60"/>
      <c r="C4" s="60"/>
      <c r="D4" s="8">
        <f>SUM(D5:D14)</f>
        <v>30</v>
      </c>
      <c r="E4" s="8">
        <f>SUM(E5:E14)</f>
        <v>46</v>
      </c>
      <c r="F4" s="9">
        <f t="shared" ref="F4:F14" si="0">(D4+E4)/2</f>
        <v>38</v>
      </c>
      <c r="G4" s="10"/>
    </row>
    <row r="5" spans="1:7" ht="30" customHeight="1">
      <c r="A5" s="3">
        <v>1</v>
      </c>
      <c r="B5" s="4"/>
      <c r="C5" s="4" t="s">
        <v>211</v>
      </c>
      <c r="D5" s="11">
        <v>2</v>
      </c>
      <c r="E5" s="11">
        <v>3</v>
      </c>
      <c r="F5" s="12">
        <f t="shared" si="0"/>
        <v>2.5</v>
      </c>
      <c r="G5" s="4" t="s">
        <v>212</v>
      </c>
    </row>
    <row r="6" spans="1:7" ht="30" customHeight="1">
      <c r="A6" s="3">
        <v>2</v>
      </c>
      <c r="B6" s="4"/>
      <c r="C6" s="4" t="s">
        <v>213</v>
      </c>
      <c r="D6" s="11">
        <v>8</v>
      </c>
      <c r="E6" s="11">
        <v>12</v>
      </c>
      <c r="F6" s="12">
        <f t="shared" si="0"/>
        <v>10</v>
      </c>
      <c r="G6" s="4" t="s">
        <v>214</v>
      </c>
    </row>
    <row r="7" spans="1:7" ht="30" customHeight="1">
      <c r="A7" s="3">
        <v>3</v>
      </c>
      <c r="B7" s="4"/>
      <c r="C7" s="4" t="s">
        <v>215</v>
      </c>
      <c r="D7" s="11">
        <v>4</v>
      </c>
      <c r="E7" s="11">
        <v>6</v>
      </c>
      <c r="F7" s="12">
        <f t="shared" si="0"/>
        <v>5</v>
      </c>
      <c r="G7" s="4" t="s">
        <v>216</v>
      </c>
    </row>
    <row r="8" spans="1:7" ht="30" customHeight="1">
      <c r="A8" s="3">
        <v>4</v>
      </c>
      <c r="B8" s="4"/>
      <c r="C8" s="4" t="s">
        <v>217</v>
      </c>
      <c r="D8" s="11">
        <v>2</v>
      </c>
      <c r="E8" s="11">
        <v>4</v>
      </c>
      <c r="F8" s="12">
        <f t="shared" si="0"/>
        <v>3</v>
      </c>
      <c r="G8" s="4" t="s">
        <v>218</v>
      </c>
    </row>
    <row r="9" spans="1:7" ht="30" customHeight="1">
      <c r="A9" s="3">
        <v>5</v>
      </c>
      <c r="B9" s="4"/>
      <c r="C9" s="4" t="s">
        <v>219</v>
      </c>
      <c r="D9" s="11">
        <v>2</v>
      </c>
      <c r="E9" s="11">
        <v>3</v>
      </c>
      <c r="F9" s="12">
        <f t="shared" si="0"/>
        <v>2.5</v>
      </c>
      <c r="G9" s="4" t="s">
        <v>220</v>
      </c>
    </row>
    <row r="10" spans="1:7" ht="30" customHeight="1">
      <c r="A10" s="3">
        <v>6</v>
      </c>
      <c r="B10" s="4"/>
      <c r="C10" s="4" t="s">
        <v>221</v>
      </c>
      <c r="D10" s="11">
        <v>2</v>
      </c>
      <c r="E10" s="11">
        <v>4</v>
      </c>
      <c r="F10" s="12">
        <f t="shared" si="0"/>
        <v>3</v>
      </c>
      <c r="G10" s="4" t="s">
        <v>222</v>
      </c>
    </row>
    <row r="11" spans="1:7" ht="30" customHeight="1">
      <c r="A11" s="3">
        <v>7</v>
      </c>
      <c r="B11" s="4"/>
      <c r="C11" s="4" t="s">
        <v>223</v>
      </c>
      <c r="D11" s="11">
        <v>2</v>
      </c>
      <c r="E11" s="11">
        <v>3</v>
      </c>
      <c r="F11" s="12">
        <f t="shared" si="0"/>
        <v>2.5</v>
      </c>
      <c r="G11" s="4" t="s">
        <v>224</v>
      </c>
    </row>
    <row r="12" spans="1:7" ht="30" customHeight="1">
      <c r="A12" s="3">
        <v>8</v>
      </c>
      <c r="B12" s="4"/>
      <c r="C12" s="4" t="s">
        <v>225</v>
      </c>
      <c r="D12" s="11">
        <v>3</v>
      </c>
      <c r="E12" s="11">
        <v>4</v>
      </c>
      <c r="F12" s="12">
        <f t="shared" si="0"/>
        <v>3.5</v>
      </c>
      <c r="G12" s="4" t="s">
        <v>226</v>
      </c>
    </row>
    <row r="13" spans="1:7" ht="30" customHeight="1">
      <c r="A13" s="3">
        <v>9</v>
      </c>
      <c r="B13" s="4"/>
      <c r="C13" s="4" t="s">
        <v>227</v>
      </c>
      <c r="D13" s="11">
        <v>3</v>
      </c>
      <c r="E13" s="11">
        <v>4</v>
      </c>
      <c r="F13" s="12">
        <f t="shared" si="0"/>
        <v>3.5</v>
      </c>
      <c r="G13" s="4" t="s">
        <v>228</v>
      </c>
    </row>
    <row r="14" spans="1:7" ht="30" customHeight="1">
      <c r="A14" s="3">
        <v>10</v>
      </c>
      <c r="B14" s="4"/>
      <c r="C14" s="4" t="s">
        <v>229</v>
      </c>
      <c r="D14" s="11">
        <v>2</v>
      </c>
      <c r="E14" s="11">
        <v>3</v>
      </c>
      <c r="F14" s="12">
        <f t="shared" si="0"/>
        <v>2.5</v>
      </c>
      <c r="G14" s="4" t="s">
        <v>230</v>
      </c>
    </row>
    <row r="15" spans="1:7" ht="7.5" customHeight="1"/>
    <row r="16" spans="1:7" ht="24" customHeight="1">
      <c r="A16" s="60" t="s">
        <v>231</v>
      </c>
      <c r="B16" s="60"/>
      <c r="C16" s="60"/>
      <c r="D16" s="8">
        <f>SUM(D17:D18)</f>
        <v>6</v>
      </c>
      <c r="E16" s="8">
        <f>SUM(E17:E18)</f>
        <v>10</v>
      </c>
      <c r="F16" s="9">
        <f>(D16+E16)/2</f>
        <v>8</v>
      </c>
      <c r="G16" s="10"/>
    </row>
    <row r="17" spans="1:7" ht="30" customHeight="1">
      <c r="A17" s="3">
        <v>11</v>
      </c>
      <c r="B17" s="4"/>
      <c r="C17" s="4" t="s">
        <v>232</v>
      </c>
      <c r="D17" s="11">
        <v>3</v>
      </c>
      <c r="E17" s="11">
        <v>5</v>
      </c>
      <c r="F17" s="12">
        <f>(D17+E17)/2</f>
        <v>4</v>
      </c>
      <c r="G17" s="4" t="s">
        <v>233</v>
      </c>
    </row>
    <row r="18" spans="1:7" ht="30" customHeight="1">
      <c r="A18" s="3">
        <v>12</v>
      </c>
      <c r="B18" s="4"/>
      <c r="C18" s="4" t="s">
        <v>234</v>
      </c>
      <c r="D18" s="11">
        <v>3</v>
      </c>
      <c r="E18" s="11">
        <v>5</v>
      </c>
      <c r="F18" s="12">
        <f>(D18+E18)/2</f>
        <v>4</v>
      </c>
      <c r="G18" s="4" t="s">
        <v>235</v>
      </c>
    </row>
    <row r="19" spans="1:7" ht="7.5" customHeight="1"/>
    <row r="20" spans="1:7" ht="24" customHeight="1">
      <c r="A20" s="60" t="s">
        <v>236</v>
      </c>
      <c r="B20" s="60"/>
      <c r="C20" s="60"/>
      <c r="D20" s="8">
        <f>SUM(D21:D22)</f>
        <v>6</v>
      </c>
      <c r="E20" s="8">
        <f>SUM(E21:E22)</f>
        <v>8</v>
      </c>
      <c r="F20" s="9">
        <f>(D20+E20)/2</f>
        <v>7</v>
      </c>
      <c r="G20" s="10"/>
    </row>
    <row r="21" spans="1:7" ht="30" customHeight="1">
      <c r="A21" s="3">
        <v>13</v>
      </c>
      <c r="B21" s="4"/>
      <c r="C21" s="4" t="s">
        <v>237</v>
      </c>
      <c r="D21" s="11">
        <v>4</v>
      </c>
      <c r="E21" s="11">
        <v>6</v>
      </c>
      <c r="F21" s="12">
        <f>(D21+E21)/2</f>
        <v>5</v>
      </c>
      <c r="G21" s="4" t="s">
        <v>238</v>
      </c>
    </row>
    <row r="22" spans="1:7" ht="30" customHeight="1">
      <c r="A22" s="3">
        <v>14</v>
      </c>
      <c r="B22" s="4"/>
      <c r="C22" s="4" t="s">
        <v>239</v>
      </c>
      <c r="D22" s="11">
        <v>2</v>
      </c>
      <c r="E22" s="11">
        <v>2</v>
      </c>
      <c r="F22" s="12">
        <f>(D22+E22)/2</f>
        <v>2</v>
      </c>
      <c r="G22" s="4" t="s">
        <v>240</v>
      </c>
    </row>
    <row r="23" spans="1:7" ht="7.5" customHeight="1"/>
    <row r="24" spans="1:7" ht="19.5" customHeight="1">
      <c r="A24" s="61" t="s">
        <v>241</v>
      </c>
      <c r="B24" s="61"/>
      <c r="C24" s="61"/>
      <c r="D24" s="13">
        <f>(D4+D16+D20)*0.1</f>
        <v>4.2</v>
      </c>
      <c r="E24" s="13">
        <f>(E4+E16+E20)*0.1</f>
        <v>6.4</v>
      </c>
      <c r="F24" s="13">
        <f>(D24+E24)/2</f>
        <v>5.3000000000000007</v>
      </c>
      <c r="G24" s="1" t="s">
        <v>242</v>
      </c>
    </row>
    <row r="25" spans="1:7" ht="21.75" customHeight="1">
      <c r="A25" s="62" t="s">
        <v>243</v>
      </c>
      <c r="B25" s="62"/>
      <c r="C25" s="62"/>
      <c r="D25" s="14">
        <f>D4+D16+D20+D24</f>
        <v>46.2</v>
      </c>
      <c r="E25" s="14">
        <f>E4+E16+E20+E24</f>
        <v>70.400000000000006</v>
      </c>
      <c r="F25" s="15">
        <f>(D25+E25)/2</f>
        <v>58.300000000000004</v>
      </c>
      <c r="G25" s="6" t="s">
        <v>244</v>
      </c>
    </row>
  </sheetData>
  <mergeCells count="6">
    <mergeCell ref="A25:C25"/>
    <mergeCell ref="A1:G1"/>
    <mergeCell ref="A4:C4"/>
    <mergeCell ref="A16:C16"/>
    <mergeCell ref="A20:C20"/>
    <mergeCell ref="A24:C2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9173-DA10-425E-871A-4CA2BC232581}">
  <dimension ref="D25:D26"/>
  <sheetViews>
    <sheetView topLeftCell="B16" workbookViewId="0">
      <selection activeCell="E26" sqref="E26"/>
    </sheetView>
  </sheetViews>
  <sheetFormatPr defaultRowHeight="14.45"/>
  <sheetData>
    <row r="25" spans="4:4">
      <c r="D25" s="28" t="s">
        <v>245</v>
      </c>
    </row>
    <row r="26" spans="4:4">
      <c r="D26" s="28" t="s">
        <v>246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9004-44D0-4F18-85F3-204E8D0C89C1}">
  <dimension ref="A1:E37"/>
  <sheetViews>
    <sheetView topLeftCell="A3" workbookViewId="0">
      <selection activeCell="J12" sqref="J12"/>
    </sheetView>
  </sheetViews>
  <sheetFormatPr defaultColWidth="8.5703125" defaultRowHeight="14.45"/>
  <cols>
    <col min="1" max="1" width="5" customWidth="1"/>
    <col min="2" max="2" width="45" customWidth="1"/>
    <col min="3" max="3" width="14" customWidth="1"/>
    <col min="4" max="4" width="20" customWidth="1"/>
    <col min="5" max="5" width="52" customWidth="1"/>
  </cols>
  <sheetData>
    <row r="1" spans="1:5" ht="30" customHeight="1">
      <c r="A1" s="64" t="s">
        <v>247</v>
      </c>
      <c r="B1" s="64"/>
      <c r="C1" s="64"/>
      <c r="D1" s="64"/>
      <c r="E1" s="64"/>
    </row>
    <row r="2" spans="1:5" ht="18" customHeight="1">
      <c r="A2" s="29" t="s">
        <v>5</v>
      </c>
      <c r="B2" s="30" t="s">
        <v>248</v>
      </c>
      <c r="C2" s="29" t="s">
        <v>249</v>
      </c>
      <c r="D2" s="29" t="s">
        <v>250</v>
      </c>
      <c r="E2" s="29" t="s">
        <v>251</v>
      </c>
    </row>
    <row r="3" spans="1:5" ht="18" customHeight="1">
      <c r="A3" s="63" t="s">
        <v>252</v>
      </c>
      <c r="B3" s="63"/>
      <c r="C3" s="63"/>
      <c r="D3" s="63"/>
      <c r="E3" s="63"/>
    </row>
    <row r="4" spans="1:5" ht="27.75" customHeight="1">
      <c r="A4" s="31">
        <v>1</v>
      </c>
      <c r="B4" s="32" t="s">
        <v>253</v>
      </c>
      <c r="C4" s="33">
        <v>15</v>
      </c>
      <c r="D4" s="31" t="s">
        <v>254</v>
      </c>
      <c r="E4" s="32" t="s">
        <v>255</v>
      </c>
    </row>
    <row r="5" spans="1:5" ht="27.75" customHeight="1">
      <c r="A5" s="31">
        <v>2</v>
      </c>
      <c r="B5" s="32" t="s">
        <v>256</v>
      </c>
      <c r="C5" s="33">
        <v>8</v>
      </c>
      <c r="D5" s="31" t="s">
        <v>254</v>
      </c>
      <c r="E5" s="32" t="s">
        <v>257</v>
      </c>
    </row>
    <row r="6" spans="1:5" ht="15.75" customHeight="1">
      <c r="A6" s="65" t="s">
        <v>258</v>
      </c>
      <c r="B6" s="65"/>
      <c r="C6" s="34">
        <f>SUM(C4:C5)</f>
        <v>23</v>
      </c>
      <c r="D6" s="5"/>
      <c r="E6" s="5"/>
    </row>
    <row r="8" spans="1:5" ht="18" customHeight="1">
      <c r="A8" s="63" t="s">
        <v>259</v>
      </c>
      <c r="B8" s="63"/>
      <c r="C8" s="63"/>
      <c r="D8" s="63"/>
      <c r="E8" s="63"/>
    </row>
    <row r="9" spans="1:5" ht="27.75" customHeight="1">
      <c r="A9" s="31">
        <v>3</v>
      </c>
      <c r="B9" s="32" t="s">
        <v>260</v>
      </c>
      <c r="C9" s="33">
        <v>245</v>
      </c>
      <c r="D9" s="31" t="s">
        <v>261</v>
      </c>
      <c r="E9" s="32" t="s">
        <v>262</v>
      </c>
    </row>
    <row r="10" spans="1:5" ht="15.75" customHeight="1">
      <c r="A10" s="65" t="s">
        <v>263</v>
      </c>
      <c r="B10" s="65"/>
      <c r="C10" s="34">
        <f>C9</f>
        <v>245</v>
      </c>
      <c r="D10" s="5"/>
      <c r="E10" s="5"/>
    </row>
    <row r="12" spans="1:5" ht="18" customHeight="1">
      <c r="A12" s="63" t="s">
        <v>264</v>
      </c>
      <c r="B12" s="63"/>
      <c r="C12" s="63"/>
      <c r="D12" s="63"/>
      <c r="E12" s="63"/>
    </row>
    <row r="13" spans="1:5" ht="27.75" customHeight="1">
      <c r="A13" s="31">
        <v>4</v>
      </c>
      <c r="B13" s="32" t="s">
        <v>265</v>
      </c>
      <c r="C13" s="33">
        <v>54.75</v>
      </c>
      <c r="D13" s="31" t="s">
        <v>261</v>
      </c>
      <c r="E13" s="32" t="s">
        <v>266</v>
      </c>
    </row>
    <row r="14" spans="1:5" ht="27.75" customHeight="1">
      <c r="A14" s="31">
        <v>5</v>
      </c>
      <c r="B14" s="32" t="s">
        <v>267</v>
      </c>
      <c r="C14" s="33">
        <v>5</v>
      </c>
      <c r="D14" s="31" t="s">
        <v>268</v>
      </c>
      <c r="E14" s="32" t="s">
        <v>269</v>
      </c>
    </row>
    <row r="15" spans="1:5" ht="27.75" customHeight="1">
      <c r="A15" s="31">
        <v>6</v>
      </c>
      <c r="B15" s="32" t="s">
        <v>270</v>
      </c>
      <c r="C15" s="33">
        <v>5</v>
      </c>
      <c r="D15" s="31" t="s">
        <v>271</v>
      </c>
      <c r="E15" s="32" t="s">
        <v>272</v>
      </c>
    </row>
    <row r="16" spans="1:5" ht="15.75" customHeight="1">
      <c r="A16" s="65" t="s">
        <v>273</v>
      </c>
      <c r="B16" s="65"/>
      <c r="C16" s="34">
        <f>SUM(C13:C15)</f>
        <v>64.75</v>
      </c>
      <c r="D16" s="5"/>
      <c r="E16" s="5"/>
    </row>
    <row r="18" spans="1:5" ht="18" customHeight="1">
      <c r="A18" s="63" t="s">
        <v>274</v>
      </c>
      <c r="B18" s="63"/>
      <c r="C18" s="63"/>
      <c r="D18" s="63"/>
      <c r="E18" s="63"/>
    </row>
    <row r="19" spans="1:5" ht="27.75" customHeight="1">
      <c r="A19" s="31">
        <v>7</v>
      </c>
      <c r="B19" s="32" t="s">
        <v>275</v>
      </c>
      <c r="C19" s="33">
        <v>75</v>
      </c>
      <c r="D19" s="31" t="s">
        <v>261</v>
      </c>
      <c r="E19" s="32" t="s">
        <v>276</v>
      </c>
    </row>
    <row r="20" spans="1:5" ht="15.75" customHeight="1">
      <c r="A20" s="65" t="s">
        <v>277</v>
      </c>
      <c r="B20" s="65"/>
      <c r="C20" s="34">
        <f>C19</f>
        <v>75</v>
      </c>
      <c r="D20" s="5"/>
      <c r="E20" s="5"/>
    </row>
    <row r="22" spans="1:5" ht="18" customHeight="1">
      <c r="A22" s="63" t="s">
        <v>278</v>
      </c>
      <c r="B22" s="63"/>
      <c r="C22" s="63"/>
      <c r="D22" s="63"/>
      <c r="E22" s="63"/>
    </row>
    <row r="23" spans="1:5" ht="27.75" customHeight="1">
      <c r="A23" s="31">
        <v>8</v>
      </c>
      <c r="B23" s="32" t="s">
        <v>279</v>
      </c>
      <c r="C23" s="33">
        <v>10</v>
      </c>
      <c r="D23" s="31" t="s">
        <v>280</v>
      </c>
      <c r="E23" s="32" t="s">
        <v>281</v>
      </c>
    </row>
    <row r="24" spans="1:5" ht="27.75" customHeight="1">
      <c r="A24" s="31">
        <v>9</v>
      </c>
      <c r="B24" s="32" t="s">
        <v>282</v>
      </c>
      <c r="C24" s="33" t="s">
        <v>283</v>
      </c>
      <c r="D24" s="31" t="s">
        <v>284</v>
      </c>
      <c r="E24" s="32" t="s">
        <v>285</v>
      </c>
    </row>
    <row r="25" spans="1:5" ht="15.75" customHeight="1">
      <c r="A25" s="65" t="s">
        <v>286</v>
      </c>
      <c r="B25" s="65"/>
      <c r="C25" s="34">
        <f>C23</f>
        <v>10</v>
      </c>
      <c r="D25" s="5"/>
      <c r="E25" s="5"/>
    </row>
    <row r="27" spans="1:5" ht="18" customHeight="1">
      <c r="A27" s="63" t="s">
        <v>287</v>
      </c>
      <c r="B27" s="63"/>
      <c r="C27" s="63"/>
      <c r="D27" s="63"/>
      <c r="E27" s="63"/>
    </row>
    <row r="28" spans="1:5" ht="27.75" customHeight="1">
      <c r="A28" s="31">
        <v>10</v>
      </c>
      <c r="B28" s="32" t="s">
        <v>288</v>
      </c>
      <c r="C28" s="33">
        <v>25</v>
      </c>
      <c r="D28" s="31" t="s">
        <v>289</v>
      </c>
      <c r="E28" s="32" t="s">
        <v>290</v>
      </c>
    </row>
    <row r="29" spans="1:5" ht="27.75" customHeight="1">
      <c r="A29" s="31">
        <v>11</v>
      </c>
      <c r="B29" s="32" t="s">
        <v>291</v>
      </c>
      <c r="C29" s="33">
        <v>5</v>
      </c>
      <c r="D29" s="31" t="s">
        <v>292</v>
      </c>
      <c r="E29" s="32" t="s">
        <v>293</v>
      </c>
    </row>
    <row r="30" spans="1:5" ht="15.75" customHeight="1">
      <c r="A30" s="65" t="s">
        <v>294</v>
      </c>
      <c r="B30" s="65"/>
      <c r="C30" s="34">
        <f>SUM(C28:C29)</f>
        <v>30</v>
      </c>
      <c r="D30" s="5"/>
      <c r="E30" s="5"/>
    </row>
    <row r="32" spans="1:5" ht="18" customHeight="1">
      <c r="A32" s="63" t="s">
        <v>295</v>
      </c>
      <c r="B32" s="63"/>
      <c r="C32" s="63"/>
      <c r="D32" s="63"/>
      <c r="E32" s="63"/>
    </row>
    <row r="33" spans="1:5" ht="27.75" customHeight="1">
      <c r="A33" s="31">
        <v>12</v>
      </c>
      <c r="B33" s="32" t="s">
        <v>296</v>
      </c>
      <c r="C33" s="33">
        <v>50</v>
      </c>
      <c r="D33" s="31" t="s">
        <v>297</v>
      </c>
      <c r="E33" s="32" t="s">
        <v>298</v>
      </c>
    </row>
    <row r="34" spans="1:5" ht="15.75" customHeight="1">
      <c r="A34" s="65" t="s">
        <v>299</v>
      </c>
      <c r="B34" s="65"/>
      <c r="C34" s="34">
        <f>C33</f>
        <v>50</v>
      </c>
      <c r="D34" s="5"/>
      <c r="E34" s="5"/>
    </row>
    <row r="36" spans="1:5" ht="7.5" customHeight="1"/>
    <row r="37" spans="1:5" ht="21.75" customHeight="1">
      <c r="A37" s="66" t="s">
        <v>300</v>
      </c>
      <c r="B37" s="67"/>
      <c r="C37" s="35">
        <f>C6+C10+C16+C20+C25+C30+C34</f>
        <v>497.75</v>
      </c>
      <c r="D37" s="36"/>
      <c r="E37" s="37" t="s">
        <v>301</v>
      </c>
    </row>
  </sheetData>
  <mergeCells count="16">
    <mergeCell ref="A30:B30"/>
    <mergeCell ref="A32:E32"/>
    <mergeCell ref="A34:B34"/>
    <mergeCell ref="A37:B37"/>
    <mergeCell ref="A16:B16"/>
    <mergeCell ref="A18:E18"/>
    <mergeCell ref="A20:B20"/>
    <mergeCell ref="A22:E22"/>
    <mergeCell ref="A25:B25"/>
    <mergeCell ref="A27:E27"/>
    <mergeCell ref="A12:E12"/>
    <mergeCell ref="A1:E1"/>
    <mergeCell ref="A3:E3"/>
    <mergeCell ref="A6:B6"/>
    <mergeCell ref="A8:E8"/>
    <mergeCell ref="A10:B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showGridLines="0" topLeftCell="B1" zoomScaleNormal="100" workbookViewId="0">
      <selection activeCell="I12" sqref="I12"/>
    </sheetView>
  </sheetViews>
  <sheetFormatPr defaultColWidth="8.5703125" defaultRowHeight="14.45"/>
  <cols>
    <col min="1" max="1" width="12" customWidth="1"/>
    <col min="2" max="2" width="55" customWidth="1"/>
    <col min="3" max="3" width="16" customWidth="1"/>
    <col min="4" max="4" width="18" customWidth="1"/>
  </cols>
  <sheetData>
    <row r="1" spans="1:4" ht="30" customHeight="1">
      <c r="A1" s="54" t="s">
        <v>302</v>
      </c>
      <c r="B1" s="54"/>
      <c r="C1" s="54"/>
      <c r="D1" s="54"/>
    </row>
    <row r="2" spans="1:4" ht="6" customHeight="1"/>
    <row r="3" spans="1:4" ht="18" customHeight="1">
      <c r="A3" s="2" t="s">
        <v>303</v>
      </c>
      <c r="B3" s="2" t="s">
        <v>304</v>
      </c>
      <c r="C3" s="2" t="s">
        <v>305</v>
      </c>
      <c r="D3" s="2" t="s">
        <v>306</v>
      </c>
    </row>
    <row r="4" spans="1:4" ht="30.75" customHeight="1">
      <c r="A4" s="3" t="s">
        <v>307</v>
      </c>
      <c r="B4" s="4" t="s">
        <v>308</v>
      </c>
      <c r="C4" s="3" t="s">
        <v>309</v>
      </c>
      <c r="D4" s="3" t="s">
        <v>310</v>
      </c>
    </row>
    <row r="5" spans="1:4" ht="33.75" customHeight="1">
      <c r="A5" s="3" t="s">
        <v>311</v>
      </c>
      <c r="B5" s="4" t="s">
        <v>312</v>
      </c>
      <c r="C5" s="3" t="s">
        <v>313</v>
      </c>
      <c r="D5" s="3" t="s">
        <v>310</v>
      </c>
    </row>
  </sheetData>
  <mergeCells count="1">
    <mergeCell ref="A1:D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80422637660A43AE03DEE82ADD02AA" ma:contentTypeVersion="14" ma:contentTypeDescription="Create a new document." ma:contentTypeScope="" ma:versionID="5652af982787f89866ac5fad8cbc8c2d">
  <xsd:schema xmlns:xsd="http://www.w3.org/2001/XMLSchema" xmlns:xs="http://www.w3.org/2001/XMLSchema" xmlns:p="http://schemas.microsoft.com/office/2006/metadata/properties" xmlns:ns2="a5a3d751-a609-425f-8dad-efd7a5f374c1" xmlns:ns3="a72b6e88-bb0c-4e99-84b9-336fb968a46d" xmlns:ns4="acd19aa9-be0c-42ca-8d51-d6ffad4fb565" targetNamespace="http://schemas.microsoft.com/office/2006/metadata/properties" ma:root="true" ma:fieldsID="39df83cb05d83f216c5c289925bbf4f7" ns2:_="" ns3:_="" ns4:_="">
    <xsd:import namespace="a5a3d751-a609-425f-8dad-efd7a5f374c1"/>
    <xsd:import namespace="a72b6e88-bb0c-4e99-84b9-336fb968a46d"/>
    <xsd:import namespace="acd19aa9-be0c-42ca-8d51-d6ffad4fb5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a3d751-a609-425f-8dad-efd7a5f37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f52c879-ee73-4b35-9574-abd2c30f96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2b6e88-bb0c-4e99-84b9-336fb968a46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d19aa9-be0c-42ca-8d51-d6ffad4fb56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b0c7191-4fa3-4eac-b155-ad544597c40f}" ma:internalName="TaxCatchAll" ma:showField="CatchAllData" ma:web="a72b6e88-bb0c-4e99-84b9-336fb968a4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a3d751-a609-425f-8dad-efd7a5f374c1">
      <Terms xmlns="http://schemas.microsoft.com/office/infopath/2007/PartnerControls"/>
    </lcf76f155ced4ddcb4097134ff3c332f>
    <TaxCatchAll xmlns="acd19aa9-be0c-42ca-8d51-d6ffad4fb565" xsi:nil="true"/>
  </documentManagement>
</p:properties>
</file>

<file path=customXml/itemProps1.xml><?xml version="1.0" encoding="utf-8"?>
<ds:datastoreItem xmlns:ds="http://schemas.openxmlformats.org/officeDocument/2006/customXml" ds:itemID="{9982A213-3041-4843-980A-F39D65964706}"/>
</file>

<file path=customXml/itemProps2.xml><?xml version="1.0" encoding="utf-8"?>
<ds:datastoreItem xmlns:ds="http://schemas.openxmlformats.org/officeDocument/2006/customXml" ds:itemID="{AB7FC7C9-93DC-466E-A8FC-B998751400E8}"/>
</file>

<file path=customXml/itemProps3.xml><?xml version="1.0" encoding="utf-8"?>
<ds:datastoreItem xmlns:ds="http://schemas.openxmlformats.org/officeDocument/2006/customXml" ds:itemID="{14DEB9A9-D28B-40EE-A824-338C94CA5F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2026-03-10T06:57:17Z</dcterms:created>
  <dcterms:modified xsi:type="dcterms:W3CDTF">2026-03-11T03:13:52Z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0x010100CE80422637660A43AE03DEE82ADD02AA</vt:lpwstr>
  </property>
  <property fmtid="{D5CDD505-2E9C-101B-9397-08002B2CF9AE}" pid="3" name="MediaServiceImageTags">
    <vt:lpwstr/>
  </property>
</Properties>
</file>