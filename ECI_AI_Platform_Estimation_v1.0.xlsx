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I Agent Dev- Backend" sheetId="2" state="visible" r:id="rId2"/>
    <sheet name="DevOps" sheetId="3" state="visible" r:id="rId3"/>
    <sheet name="Architecture" sheetId="4" state="visible" r:id="rId4"/>
    <sheet name="Infra Cost" sheetId="5" state="visible" r:id="rId5"/>
    <sheet name="Version 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color rgb="FF000000"/>
      <sz val="11"/>
    </font>
    <font>
      <name val="Calibri"/>
      <color rgb="FF000000"/>
      <sz val="10"/>
    </font>
    <font>
      <name val="Calibri"/>
      <color rgb="FFFFFFFF"/>
      <sz val="10"/>
    </font>
    <font>
      <name val="Calibri"/>
      <b val="1"/>
      <color rgb="FFFFFFFF"/>
      <sz val="11"/>
    </font>
    <font>
      <name val="Calibri"/>
      <b val="1"/>
      <color rgb="FF000000"/>
      <sz val="10"/>
    </font>
    <font>
      <name val="Calibri"/>
      <b val="1"/>
      <color rgb="FFFFFFFF"/>
      <sz val="12"/>
    </font>
    <font>
      <name val="Calibri"/>
      <i val="1"/>
      <color rgb="FFFFFFFF"/>
      <sz val="9"/>
    </font>
    <font>
      <name val="Calibri"/>
      <b val="1"/>
      <color rgb="FFFFFFFF"/>
      <sz val="14"/>
    </font>
    <font>
      <name val="Calibri"/>
      <i val="1"/>
      <color rgb="FF555555"/>
      <sz val="9"/>
    </font>
    <font>
      <name val="Calibri"/>
      <b val="1"/>
      <i val="1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/>
    </fill>
    <fill>
      <patternFill patternType="solid">
        <fgColor rgb="FFDEEAF1"/>
        <bgColor rgb="FFDEEAF1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/>
    </xf>
    <xf numFmtId="0" fontId="11" fillId="0" borderId="0" pivotButton="0" quotePrefix="0" xfId="0"/>
    <xf numFmtId="0" fontId="12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5" fillId="3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5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8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9" fillId="2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4" customWidth="1" min="4" max="4"/>
    <col width="5" customWidth="1" min="5" max="5"/>
    <col width="6" customWidth="1" min="6" max="6"/>
    <col width="22" customWidth="1" min="7" max="7"/>
    <col width="14" customWidth="1" min="8" max="8"/>
    <col width="12" customWidth="1" min="9" max="9"/>
    <col width="5" customWidth="1" min="10" max="10"/>
    <col width="5" customWidth="1" min="11" max="11"/>
    <col width="6" customWidth="1" min="12" max="12"/>
    <col width="75" customWidth="1" min="13" max="13"/>
  </cols>
  <sheetData>
    <row r="1" ht="30" customHeight="1">
      <c r="A1" s="1" t="inlineStr">
        <is>
          <t>ECI AI PLATFORM BUILD – ESTIMATION SUMMARY</t>
        </is>
      </c>
    </row>
    <row r="3" ht="18" customHeight="1">
      <c r="A3" s="2" t="inlineStr">
        <is>
          <t>Variables</t>
        </is>
      </c>
      <c r="F3" s="2" t="inlineStr">
        <is>
          <t>Team Allocation</t>
        </is>
      </c>
      <c r="L3" s="2" t="inlineStr">
        <is>
          <t>S.N.  |  Pre-Requisites (Client Responsibility)</t>
        </is>
      </c>
    </row>
    <row r="4" ht="20" customHeight="1">
      <c r="A4" s="3" t="inlineStr">
        <is>
          <t>SNO</t>
        </is>
      </c>
      <c r="B4" s="3" t="inlineStr">
        <is>
          <t>Variables</t>
        </is>
      </c>
      <c r="C4" s="3" t="inlineStr">
        <is>
          <t>#</t>
        </is>
      </c>
      <c r="D4" s="3" t="inlineStr"/>
      <c r="E4" s="3" t="inlineStr"/>
      <c r="F4" s="3" t="inlineStr">
        <is>
          <t>SNO</t>
        </is>
      </c>
      <c r="G4" s="3" t="inlineStr">
        <is>
          <t>Role</t>
        </is>
      </c>
      <c r="H4" s="3" t="inlineStr">
        <is>
          <t>Allocation %</t>
        </is>
      </c>
      <c r="I4" s="3" t="inlineStr">
        <is>
          <t>Est. Days</t>
        </is>
      </c>
      <c r="J4" s="3" t="inlineStr"/>
      <c r="L4" s="4" t="n">
        <v>1</v>
      </c>
      <c r="M4" s="5" t="inlineStr">
        <is>
          <t>Active Azure subscription with Contributor or Owner role at resource group level</t>
        </is>
      </c>
    </row>
    <row r="5" ht="20" customHeight="1">
      <c r="A5" s="6" t="n">
        <v>1</v>
      </c>
      <c r="B5" s="7" t="inlineStr">
        <is>
          <t>FrontEnd</t>
        </is>
      </c>
      <c r="C5" s="8" t="inlineStr">
        <is>
          <t>No</t>
        </is>
      </c>
      <c r="F5" s="3" t="inlineStr">
        <is>
          <t>SNO</t>
        </is>
      </c>
      <c r="G5" s="3" t="inlineStr">
        <is>
          <t>Role</t>
        </is>
      </c>
      <c r="H5" s="3" t="inlineStr">
        <is>
          <t>Allocation %</t>
        </is>
      </c>
      <c r="I5" s="3" t="inlineStr">
        <is>
          <t>Est. Days</t>
        </is>
      </c>
      <c r="L5" s="4" t="n">
        <v>2</v>
      </c>
      <c r="M5" s="5" t="inlineStr">
        <is>
          <t>Microsoft 365 E3 (or higher) licenses for all service and user accounts</t>
        </is>
      </c>
    </row>
    <row r="6" ht="20" customHeight="1">
      <c r="A6" s="6" t="n">
        <v>2</v>
      </c>
      <c r="B6" s="7" t="inlineStr">
        <is>
          <t>Backend</t>
        </is>
      </c>
      <c r="C6" s="9" t="inlineStr">
        <is>
          <t>Yes</t>
        </is>
      </c>
      <c r="F6" s="6" t="n">
        <v>1</v>
      </c>
      <c r="G6" s="7" t="inlineStr">
        <is>
          <t>Project Manager</t>
        </is>
      </c>
      <c r="H6" s="6" t="inlineStr">
        <is>
          <t>25%</t>
        </is>
      </c>
      <c r="I6" s="10">
        <f>(('AI Agent Dev- Backend'!F67+DevOps!F28)/7)*0.25</f>
        <v/>
      </c>
      <c r="L6" s="4" t="n">
        <v>3</v>
      </c>
      <c r="M6" s="5" t="inlineStr">
        <is>
          <t>Copilot Studio license (standalone ~$200/tenant/mo or via M365 tier — confirm with client)</t>
        </is>
      </c>
    </row>
    <row r="7" ht="20" customHeight="1">
      <c r="A7" s="6" t="n">
        <v>3</v>
      </c>
      <c r="B7" s="7" t="inlineStr">
        <is>
          <t>DevOps</t>
        </is>
      </c>
      <c r="C7" s="9" t="inlineStr">
        <is>
          <t>Yes</t>
        </is>
      </c>
      <c r="F7" s="6" t="n">
        <v>2</v>
      </c>
      <c r="G7" s="7" t="inlineStr">
        <is>
          <t>AI Architect / Lead</t>
        </is>
      </c>
      <c r="H7" s="6" t="inlineStr">
        <is>
          <t>50%</t>
        </is>
      </c>
      <c r="I7" s="10">
        <f>(('AI Agent Dev- Backend'!F67+DevOps!F28)/7)*0.5</f>
        <v/>
      </c>
      <c r="L7" s="4" t="n">
        <v>4</v>
      </c>
      <c r="M7" s="5" t="inlineStr">
        <is>
          <t>Read/write SharePoint credentials and Graph API permissions for all source data</t>
        </is>
      </c>
    </row>
    <row r="8" ht="20" customHeight="1">
      <c r="A8" s="6" t="n">
        <v>4</v>
      </c>
      <c r="B8" s="7" t="inlineStr">
        <is>
          <t>QA</t>
        </is>
      </c>
      <c r="C8" s="9" t="inlineStr">
        <is>
          <t>Yes</t>
        </is>
      </c>
      <c r="F8" s="6" t="n">
        <v>3</v>
      </c>
      <c r="G8" s="7" t="inlineStr">
        <is>
          <t>AI Engineer</t>
        </is>
      </c>
      <c r="H8" s="6" t="inlineStr">
        <is>
          <t>100%</t>
        </is>
      </c>
      <c r="I8" s="10">
        <f>(('AI Agent Dev- Backend'!F67+DevOps!F28)/7)*1.0</f>
        <v/>
      </c>
      <c r="L8" s="4" t="n">
        <v>5</v>
      </c>
      <c r="M8" s="5" t="inlineStr">
        <is>
          <t>Microsoft Teams admin consent for custom Copilot Studio bot deployment</t>
        </is>
      </c>
    </row>
    <row r="9" ht="20" customHeight="1">
      <c r="A9" s="6" t="n">
        <v>5</v>
      </c>
      <c r="B9" s="7" t="inlineStr">
        <is>
          <t>Mobile</t>
        </is>
      </c>
      <c r="C9" s="8" t="inlineStr">
        <is>
          <t>No</t>
        </is>
      </c>
      <c r="F9" s="6" t="n">
        <v>4</v>
      </c>
      <c r="G9" s="7" t="inlineStr">
        <is>
          <t>QA Engineer</t>
        </is>
      </c>
      <c r="H9" s="6" t="inlineStr">
        <is>
          <t>50%</t>
        </is>
      </c>
      <c r="I9" s="10">
        <f>(('AI Agent Dev- Backend'!F67+DevOps!F28)/7)*0.5</f>
        <v/>
      </c>
      <c r="L9" s="4" t="n">
        <v>6</v>
      </c>
      <c r="M9" s="5" t="inlineStr">
        <is>
          <t>Azure AD user accounts provisioned for 10 POC users</t>
        </is>
      </c>
    </row>
    <row r="10" ht="20" customHeight="1">
      <c r="A10" s="11" t="inlineStr">
        <is>
          <t>Activities</t>
        </is>
      </c>
      <c r="F10" s="6" t="n">
        <v>5</v>
      </c>
      <c r="G10" s="7" t="inlineStr">
        <is>
          <t>DevOps Engineer</t>
        </is>
      </c>
      <c r="H10" s="6" t="inlineStr">
        <is>
          <t>25%</t>
        </is>
      </c>
      <c r="I10" s="10">
        <f>(('AI Agent Dev- Backend'!F67+DevOps!F28)/7)*0.25</f>
        <v/>
      </c>
      <c r="L10" s="4" t="n">
        <v>7</v>
      </c>
      <c r="M10" s="5" t="inlineStr">
        <is>
          <t>Identification of key stakeholders for workshops and UAT sign-off</t>
        </is>
      </c>
    </row>
    <row r="11" ht="20" customHeight="1">
      <c r="A11" s="3" t="inlineStr">
        <is>
          <t>SNO</t>
        </is>
      </c>
      <c r="B11" s="3" t="inlineStr">
        <is>
          <t>Activities</t>
        </is>
      </c>
      <c r="D11" s="3" t="inlineStr">
        <is>
          <t>DevTime (hrs)</t>
        </is>
      </c>
      <c r="F11" s="6" t="n">
        <v>6</v>
      </c>
      <c r="G11" s="7" t="inlineStr">
        <is>
          <t>Data Engineer</t>
        </is>
      </c>
      <c r="H11" s="6" t="inlineStr">
        <is>
          <t>50%</t>
        </is>
      </c>
      <c r="I11" s="10">
        <f>(('AI Agent Dev- Backend'!F67+DevOps!F28)/7)*0.5</f>
        <v/>
      </c>
      <c r="L11" s="4" t="n">
        <v>8</v>
      </c>
      <c r="M11" s="5" t="inlineStr">
        <is>
          <t>Access to all REST APIs and data sources listed in scope</t>
        </is>
      </c>
    </row>
    <row r="12" ht="20" customHeight="1">
      <c r="A12" s="6" t="n">
        <v>1</v>
      </c>
      <c r="B12" s="7" t="inlineStr">
        <is>
          <t>FrontEnd</t>
        </is>
      </c>
      <c r="D12" s="10" t="inlineStr">
        <is>
          <t>0</t>
        </is>
      </c>
      <c r="L12" s="4" t="n">
        <v>9</v>
      </c>
      <c r="M12" s="5" t="inlineStr">
        <is>
          <t>Sample document corpus (50–100 files per use case) provided within 1 week of kickoff</t>
        </is>
      </c>
    </row>
    <row r="13" ht="20" customHeight="1">
      <c r="A13" s="6" t="n">
        <v>2</v>
      </c>
      <c r="B13" s="7" t="inlineStr">
        <is>
          <t>Backend</t>
        </is>
      </c>
      <c r="D13" s="10">
        <f>'AI Agent Dev- Backend'!F67</f>
        <v/>
      </c>
      <c r="L13" s="4" t="n">
        <v>10</v>
      </c>
      <c r="M13" s="5" t="inlineStr">
        <is>
          <t>Agreed document template formats locked before ingestion begins</t>
        </is>
      </c>
    </row>
    <row r="14" ht="16" customHeight="1">
      <c r="A14" s="6" t="n">
        <v>3</v>
      </c>
      <c r="B14" s="7" t="inlineStr">
        <is>
          <t>DevOps</t>
        </is>
      </c>
      <c r="D14" s="10">
        <f>DevOps!F28</f>
        <v/>
      </c>
      <c r="F14" s="11" t="inlineStr">
        <is>
          <t>Monthly Infra Cost (Est.)</t>
        </is>
      </c>
      <c r="H14" s="12">
        <f>'Infra Cost'!C37</f>
        <v/>
      </c>
    </row>
    <row r="15" ht="18" customHeight="1">
      <c r="L15" s="13" t="inlineStr">
        <is>
          <t>S.N.  |  Out of Scope</t>
        </is>
      </c>
    </row>
    <row r="16" ht="20" customHeight="1">
      <c r="B16" s="3" t="inlineStr">
        <is>
          <t>Component</t>
        </is>
      </c>
      <c r="C16" s="3" t="inlineStr">
        <is>
          <t>Days</t>
        </is>
      </c>
      <c r="D16" s="3" t="inlineStr">
        <is>
          <t>Weeks</t>
        </is>
      </c>
      <c r="L16" s="4" t="n">
        <v>1</v>
      </c>
      <c r="M16" s="5" t="inlineStr">
        <is>
          <t>Data ingestion from sources outside the agreed list (non-approved data)</t>
        </is>
      </c>
    </row>
    <row r="17" ht="20" customHeight="1">
      <c r="B17" s="7" t="inlineStr">
        <is>
          <t>FrontEnd</t>
        </is>
      </c>
      <c r="C17" s="10" t="inlineStr">
        <is>
          <t>0</t>
        </is>
      </c>
      <c r="D17" s="10" t="inlineStr">
        <is>
          <t>0</t>
        </is>
      </c>
      <c r="L17" s="4" t="n">
        <v>2</v>
      </c>
      <c r="M17" s="5" t="inlineStr">
        <is>
          <t>Automated real-time ingestion — only one-time + scheduled delta ingestion in scope</t>
        </is>
      </c>
    </row>
    <row r="18" ht="20" customHeight="1">
      <c r="B18" s="7" t="inlineStr">
        <is>
          <t>Backend</t>
        </is>
      </c>
      <c r="C18" s="10">
        <f>'AI Agent Dev- Backend'!F67/7</f>
        <v/>
      </c>
      <c r="D18" s="10">
        <f>'AI Agent Dev- Backend'!F67/35</f>
        <v/>
      </c>
      <c r="L18" s="4" t="n">
        <v>3</v>
      </c>
      <c r="M18" s="5" t="inlineStr">
        <is>
          <t>Custom UI development outside Teams (no web portal or mobile app)</t>
        </is>
      </c>
    </row>
    <row r="19" ht="20" customHeight="1">
      <c r="B19" s="7" t="inlineStr">
        <is>
          <t>DevOps</t>
        </is>
      </c>
      <c r="C19" s="10">
        <f>DevOps!F28/7</f>
        <v/>
      </c>
      <c r="D19" s="10">
        <f>DevOps!F28/35</f>
        <v/>
      </c>
      <c r="L19" s="4" t="n">
        <v>4</v>
      </c>
      <c r="M19" s="5" t="inlineStr">
        <is>
          <t>Building full CI/CD pipelines or advanced release automation</t>
        </is>
      </c>
    </row>
    <row r="20" ht="20" customHeight="1">
      <c r="A20" s="11" t="inlineStr">
        <is>
          <t>Project Duration</t>
        </is>
      </c>
      <c r="D20" s="12">
        <f>'AI Agent Dev- Backend'!F67/35</f>
        <v/>
      </c>
      <c r="L20" s="4" t="n">
        <v>5</v>
      </c>
      <c r="M20" s="5" t="inlineStr">
        <is>
          <t>PowerPoint (.pptx) and image files as primary data source types</t>
        </is>
      </c>
    </row>
    <row r="21" ht="20" customHeight="1">
      <c r="L21" s="4" t="n">
        <v>6</v>
      </c>
      <c r="M21" s="5" t="inlineStr">
        <is>
          <t>Long-term AI operations support beyond the 30-day stabilisation period</t>
        </is>
      </c>
    </row>
    <row r="22" ht="20" customHeight="1">
      <c r="A22" s="11" t="inlineStr">
        <is>
          <t>Project Duration including Leaves &amp; Holiday</t>
        </is>
      </c>
      <c r="L22" s="4" t="n">
        <v>7</v>
      </c>
      <c r="M22" s="5" t="inlineStr">
        <is>
          <t>Unstructured formats like audio and video not supported as data sources</t>
        </is>
      </c>
    </row>
    <row r="23" ht="20" customHeight="1">
      <c r="B23" s="14" t="inlineStr">
        <is>
          <t>Leaves &amp; Holiday</t>
        </is>
      </c>
      <c r="C23" s="10" t="n">
        <v>1</v>
      </c>
      <c r="D23" s="7" t="inlineStr">
        <is>
          <t>Weeks</t>
        </is>
      </c>
      <c r="L23" s="4" t="n">
        <v>8</v>
      </c>
      <c r="M23" s="5" t="inlineStr">
        <is>
          <t>Multi-language support beyond English + 1 additional language</t>
        </is>
      </c>
    </row>
    <row r="24" ht="20" customHeight="1">
      <c r="C24" s="12">
        <f>'AI Agent Dev- Backend'!F67/35+C23</f>
        <v/>
      </c>
      <c r="D24" s="7" t="inlineStr">
        <is>
          <t>Weeks</t>
        </is>
      </c>
      <c r="L24" s="4" t="n">
        <v>9</v>
      </c>
      <c r="M24" s="5" t="inlineStr">
        <is>
          <t>Real-time external data feeds (market data, live APIs beyond what is listed)</t>
        </is>
      </c>
    </row>
    <row r="25" ht="20" customHeight="1">
      <c r="A25" s="15" t="inlineStr">
        <is>
          <t>Note: With 2 AI Engineers, project can be completed within 8-10 weeks.</t>
        </is>
      </c>
      <c r="L25" s="4" t="n">
        <v>10</v>
      </c>
      <c r="M25" s="5" t="inlineStr">
        <is>
          <t>Any new features or requests not mentioned in scope (change request process applies)</t>
        </is>
      </c>
    </row>
    <row r="27" ht="18" customHeight="1">
      <c r="L27" s="13" t="inlineStr">
        <is>
          <t>S.N.  |  Assumptions</t>
        </is>
      </c>
    </row>
    <row r="28" ht="20" customHeight="1">
      <c r="L28" s="4" t="n">
        <v>1</v>
      </c>
      <c r="M28" s="5" t="inlineStr">
        <is>
          <t>Source files are PDF, Word, and Excel only — all other formats excluded unless specifically agreed</t>
        </is>
      </c>
    </row>
    <row r="29" ht="20" customHeight="1">
      <c r="L29" s="4" t="n">
        <v>2</v>
      </c>
      <c r="M29" s="5" t="inlineStr">
        <is>
          <t>50–100 historical files per use case will be provided within POC scope</t>
        </is>
      </c>
    </row>
    <row r="30" ht="20" customHeight="1">
      <c r="L30" s="4" t="n">
        <v>3</v>
      </c>
      <c r="M30" s="5" t="inlineStr">
        <is>
          <t>AI response accuracy is estimated at 80–95% for structured queries. 100% accuracy is not guaranteed.</t>
        </is>
      </c>
    </row>
    <row r="31" ht="20" customHeight="1">
      <c r="L31" s="4" t="n">
        <v>4</v>
      </c>
      <c r="M31" s="5" t="inlineStr">
        <is>
          <t>AI responses are advisory in nature — all outputs must be reviewed and validated by client before decisions.</t>
        </is>
      </c>
    </row>
    <row r="32" ht="20" customHeight="1">
      <c r="L32" s="4" t="n">
        <v>5</v>
      </c>
      <c r="M32" s="5" t="inlineStr">
        <is>
          <t>Model accuracy is dependent on quality, consistency, and completeness of source files provided.</t>
        </is>
      </c>
    </row>
    <row r="33" ht="20" customHeight="1">
      <c r="L33" s="4" t="n">
        <v>6</v>
      </c>
      <c r="M33" s="5" t="inlineStr">
        <is>
          <t>A single agreed-upon document template per use case will be confirmed and locked during Discovery &amp; Design.</t>
        </is>
      </c>
    </row>
    <row r="34" ht="20" customHeight="1">
      <c r="L34" s="4" t="n">
        <v>7</v>
      </c>
      <c r="M34" s="5" t="inlineStr">
        <is>
          <t>One-time ingestion plus scheduled delta sync; no real-time streaming ingestion.</t>
        </is>
      </c>
    </row>
    <row r="35" ht="20" customHeight="1">
      <c r="L35" s="4" t="n">
        <v>8</v>
      </c>
      <c r="M35" s="5" t="inlineStr">
        <is>
          <t>10 users will participate in UAT, each testing 50–100 queries across all 3 use cases.</t>
        </is>
      </c>
    </row>
    <row r="36" ht="20" customHeight="1">
      <c r="L36" s="4" t="n">
        <v>9</v>
      </c>
      <c r="M36" s="5" t="inlineStr">
        <is>
          <t>Users must have existing SharePoint and Teams access to use the agent.</t>
        </is>
      </c>
    </row>
    <row r="37" ht="20" customHeight="1">
      <c r="L37" s="4" t="n">
        <v>10</v>
      </c>
      <c r="M37" s="5" t="inlineStr">
        <is>
          <t>Prompt logs stored in Azure Monitor / Log Analytics with 90-day default retention.</t>
        </is>
      </c>
    </row>
    <row r="38" ht="20" customHeight="1">
      <c r="L38" s="4" t="n">
        <v>11</v>
      </c>
      <c r="M38" s="5" t="inlineStr">
        <is>
          <t>Existing Azure landing zone and subscription will be leveraged — no new subscription required.</t>
        </is>
      </c>
    </row>
    <row r="39" ht="20" customHeight="1">
      <c r="L39" s="4" t="n">
        <v>12</v>
      </c>
      <c r="M39" s="5" t="inlineStr">
        <is>
          <t>Client is responsible for all Azure/cloud licensing, infrastructure, and data usage costs.</t>
        </is>
      </c>
    </row>
    <row r="40" ht="20" customHeight="1">
      <c r="L40" s="4" t="n">
        <v>13</v>
      </c>
      <c r="M40" s="5" t="inlineStr">
        <is>
          <t>Client will assign UAT resource(s) and respond to ECI queries within 24–48 hours.</t>
        </is>
      </c>
    </row>
    <row r="41" ht="20" customHeight="1">
      <c r="L41" s="4" t="n">
        <v>14</v>
      </c>
      <c r="M41" s="5" t="inlineStr">
        <is>
          <t>The UAT phase will follow a set timeline; no new enhancements during UAT.</t>
        </is>
      </c>
    </row>
    <row r="42" ht="20" customHeight="1">
      <c r="L42" s="4" t="n">
        <v>15</v>
      </c>
      <c r="M42" s="5" t="inlineStr">
        <is>
          <t>Data classification and labeling not required for the POC phase.</t>
        </is>
      </c>
    </row>
    <row r="44" ht="18" customHeight="1">
      <c r="L44" s="13" t="inlineStr">
        <is>
          <t>S.N.  |  Risks</t>
        </is>
      </c>
    </row>
    <row r="45" ht="20" customHeight="1">
      <c r="L45" s="4" t="n">
        <v>1</v>
      </c>
      <c r="M45" s="5" t="inlineStr">
        <is>
          <t>API restrictions: Permission or access issues may add significant effort — validate in Discovery.</t>
        </is>
      </c>
    </row>
    <row r="46" ht="20" customHeight="1">
      <c r="L46" s="4" t="n">
        <v>2</v>
      </c>
      <c r="M46" s="5" t="inlineStr">
        <is>
          <t>LLM hallucination risk: Without human review, incorrect AI outputs could influence real decisions.</t>
        </is>
      </c>
    </row>
    <row r="47" ht="20" customHeight="1">
      <c r="L47" s="4" t="n">
        <v>3</v>
      </c>
      <c r="M47" s="5" t="inlineStr">
        <is>
          <t>File volume unvalidated: 50–100 files/use case is an estimate; insufficient data may impact KPI validation.</t>
        </is>
      </c>
    </row>
    <row r="48" ht="20" customHeight="1">
      <c r="L48" s="4" t="n">
        <v>4</v>
      </c>
      <c r="M48" s="5" t="inlineStr">
        <is>
          <t>Document inconsistency: Varying formats across analysts will degrade AI accuracy.</t>
        </is>
      </c>
    </row>
    <row r="49" ht="20" customHeight="1">
      <c r="L49" s="4" t="n">
        <v>5</v>
      </c>
      <c r="M49" s="5" t="inlineStr">
        <is>
          <t>Scope creep: Use cases may expand to additional reports or data types during UAT — change request process applies.</t>
        </is>
      </c>
    </row>
    <row r="50" ht="20" customHeight="1">
      <c r="L50" s="4" t="n">
        <v>6</v>
      </c>
      <c r="M50" s="5" t="inlineStr">
        <is>
          <t>Model performance variability: GPT-4o vs GPT-4o-mini quality gap may require additional prompt tuning.</t>
        </is>
      </c>
    </row>
    <row r="51" ht="20" customHeight="1">
      <c r="L51" s="4" t="n">
        <v>7</v>
      </c>
      <c r="M51" s="5" t="inlineStr">
        <is>
          <t>Delta sync complexity: Incremental ingestion logic may require additional effort if source structure changes.</t>
        </is>
      </c>
    </row>
    <row r="52" ht="20" customHeight="1">
      <c r="L52" s="4" t="n">
        <v>8</v>
      </c>
      <c r="M52" s="5" t="inlineStr">
        <is>
          <t>Copilot Studio licensing: Cost depends on client M365 tier — standalone ~$200/tenant/mo; confirm before start.</t>
        </is>
      </c>
    </row>
    <row r="53" ht="20" customHeight="1">
      <c r="L53" s="4" t="n">
        <v>9</v>
      </c>
      <c r="M53" s="5" t="inlineStr">
        <is>
          <t>Prompt log retention: Retention beyond 90 days requires additional configuration and may impact cost.</t>
        </is>
      </c>
    </row>
    <row r="54" ht="20" customHeight="1">
      <c r="L54" s="4" t="n">
        <v>10</v>
      </c>
      <c r="M54" s="5" t="inlineStr">
        <is>
          <t>Teams deployment approval: Bot deployment to tenant requires admin consent — delays possible.</t>
        </is>
      </c>
    </row>
    <row r="56" ht="18" customHeight="1">
      <c r="L56" s="13" t="inlineStr">
        <is>
          <t>S.N.  |  Definition of Done – Project Closure Criteria</t>
        </is>
      </c>
    </row>
    <row r="57" ht="16" customHeight="1">
      <c r="L57" s="16" t="inlineStr">
        <is>
          <t xml:space="preserve">  ► DISCOVERY &amp; DESIGN</t>
        </is>
      </c>
    </row>
    <row r="58" ht="20" customHeight="1">
      <c r="L58" s="4" t="n">
        <v>1</v>
      </c>
      <c r="M58" s="5" t="inlineStr">
        <is>
          <t>Technical architecture document reviewed and signed off by client stakeholders</t>
        </is>
      </c>
    </row>
    <row r="59" ht="20" customHeight="1">
      <c r="L59" s="4" t="n">
        <v>2</v>
      </c>
      <c r="M59" s="5" t="inlineStr">
        <is>
          <t>KPI metrics and acceptance thresholds defined, documented, and agreed upon by both parties</t>
        </is>
      </c>
    </row>
    <row r="60" ht="20" customHeight="1">
      <c r="L60" s="4" t="n">
        <v>3</v>
      </c>
      <c r="M60" s="5" t="inlineStr">
        <is>
          <t>All data source access confirmed and tested (SharePoint, REST APIs, SQL)</t>
        </is>
      </c>
    </row>
    <row r="61" ht="20" customHeight="1">
      <c r="L61" s="4" t="n">
        <v>4</v>
      </c>
      <c r="M61" s="5" t="inlineStr">
        <is>
          <t>Prompt templates provided and approved for all 3 use cases</t>
        </is>
      </c>
    </row>
    <row r="62" ht="16" customHeight="1">
      <c r="L62" s="16" t="inlineStr">
        <is>
          <t xml:space="preserve">  ► ENVIRONMENT SETUP</t>
        </is>
      </c>
    </row>
    <row r="63" ht="20" customHeight="1">
      <c r="L63" s="4" t="n">
        <v>1</v>
      </c>
      <c r="M63" s="5" t="inlineStr">
        <is>
          <t>All Azure resources provisioned: Resource Group, VNet, AI Foundry, AI Search, App Service, Key Vault, Azure Monitor</t>
        </is>
      </c>
    </row>
    <row r="64" ht="20" customHeight="1">
      <c r="L64" s="4" t="n">
        <v>2</v>
      </c>
      <c r="M64" s="5" t="inlineStr">
        <is>
          <t>Entra ID / Azure AD app registrations and service principals created with least-privilege access</t>
        </is>
      </c>
    </row>
    <row r="65" ht="20" customHeight="1">
      <c r="L65" s="4" t="n">
        <v>3</v>
      </c>
      <c r="M65" s="5" t="inlineStr">
        <is>
          <t>Copilot Studio bot deployed to client's Teams tenant with admin consent granted</t>
        </is>
      </c>
    </row>
    <row r="66" ht="16" customHeight="1">
      <c r="L66" s="16" t="inlineStr">
        <is>
          <t xml:space="preserve">  ► DATA INGESTION</t>
        </is>
      </c>
    </row>
    <row r="67" ht="20" customHeight="1">
      <c r="L67" s="4" t="n">
        <v>1</v>
      </c>
      <c r="M67" s="5" t="inlineStr">
        <is>
          <t>One-time ingestion completed for all 3 use cases — files validated and indexed in Azure AI Search</t>
        </is>
      </c>
    </row>
    <row r="68" ht="20" customHeight="1">
      <c r="L68" s="4" t="n">
        <v>2</v>
      </c>
      <c r="M68" s="5" t="inlineStr">
        <is>
          <t>Two embedding models tested; embeddings stored and validated</t>
        </is>
      </c>
    </row>
    <row r="69" ht="20" customHeight="1">
      <c r="L69" s="4" t="n">
        <v>3</v>
      </c>
      <c r="M69" s="5" t="inlineStr">
        <is>
          <t>Hybrid search (vector + BM25) confirmed functional via representative test queries</t>
        </is>
      </c>
    </row>
    <row r="70" ht="20" customHeight="1">
      <c r="L70" s="4" t="n">
        <v>4</v>
      </c>
      <c r="M70" s="5" t="inlineStr">
        <is>
          <t>Azure SQL metadata store populated and validated</t>
        </is>
      </c>
    </row>
    <row r="71" ht="20" customHeight="1">
      <c r="L71" s="4" t="n">
        <v>5</v>
      </c>
      <c r="M71" s="5" t="inlineStr">
        <is>
          <t>Delta sync trigger configured and tested</t>
        </is>
      </c>
    </row>
    <row r="72" ht="16" customHeight="1">
      <c r="L72" s="16" t="inlineStr">
        <is>
          <t xml:space="preserve">  ► AI AGENT</t>
        </is>
      </c>
    </row>
    <row r="73" ht="20" customHeight="1">
      <c r="L73" s="4" t="n">
        <v>1</v>
      </c>
      <c r="M73" s="5" t="inlineStr">
        <is>
          <t>All 3 use case pipelines returning relevant responses meeting KPI thresholds</t>
        </is>
      </c>
    </row>
    <row r="74" ht="20" customHeight="1">
      <c r="L74" s="4" t="n">
        <v>2</v>
      </c>
      <c r="M74" s="5" t="inlineStr">
        <is>
          <t>Multi-model comparison completed: GPT-4o vs GPT-4o-mini evaluated across defined KPIs</t>
        </is>
      </c>
    </row>
    <row r="75" ht="20" customHeight="1">
      <c r="L75" s="4" t="n">
        <v>3</v>
      </c>
      <c r="M75" s="5" t="inlineStr">
        <is>
          <t>Prompt logging active — all interactions captured in Azure Monitor (90-day retention confirmed)</t>
        </is>
      </c>
    </row>
    <row r="76" ht="20" customHeight="1">
      <c r="L76" s="4" t="n">
        <v>4</v>
      </c>
      <c r="M76" s="5" t="inlineStr">
        <is>
          <t>Adaptive Card trigger and Teams bot responses functional for all 3 use cases</t>
        </is>
      </c>
    </row>
    <row r="77" ht="16" customHeight="1">
      <c r="L77" s="16" t="inlineStr">
        <is>
          <t xml:space="preserve">  ► TESTING &amp; UAT</t>
        </is>
      </c>
    </row>
    <row r="78" ht="20" customHeight="1">
      <c r="L78" s="4" t="n">
        <v>1</v>
      </c>
      <c r="M78" s="5" t="inlineStr">
        <is>
          <t>All unit and integration tests passing with minimum critical defects</t>
        </is>
      </c>
    </row>
    <row r="79" ht="20" customHeight="1">
      <c r="L79" s="4" t="n">
        <v>2</v>
      </c>
      <c r="M79" s="5" t="inlineStr">
        <is>
          <t>10 POC users completed UAT (50–100 queries each) across all 3 use cases</t>
        </is>
      </c>
    </row>
    <row r="80" ht="20" customHeight="1">
      <c r="L80" s="4" t="n">
        <v>3</v>
      </c>
      <c r="M80" s="5" t="inlineStr">
        <is>
          <t>Security testing passed: authentication, authorization, data isolation verified</t>
        </is>
      </c>
    </row>
    <row r="81" ht="20" customHeight="1">
      <c r="L81" s="4" t="n">
        <v>4</v>
      </c>
      <c r="M81" s="5" t="inlineStr">
        <is>
          <t>Feedback incorporated and sign-off obtained from UAT participants</t>
        </is>
      </c>
    </row>
    <row r="82" ht="16" customHeight="1">
      <c r="L82" s="16" t="inlineStr">
        <is>
          <t xml:space="preserve">  ► PRODUCTION DEPLOYMENT &amp; HANDOVER</t>
        </is>
      </c>
    </row>
    <row r="83" ht="20" customHeight="1">
      <c r="L83" s="4" t="n">
        <v>1</v>
      </c>
      <c r="M83" s="5" t="inlineStr">
        <is>
          <t>Production environment deployed, smoke tested, and monitoring alerts configured</t>
        </is>
      </c>
    </row>
    <row r="84" ht="20" customHeight="1">
      <c r="L84" s="4" t="n">
        <v>2</v>
      </c>
      <c r="M84" s="5" t="inlineStr">
        <is>
          <t>Architecture documentation and user guides finalized and delivered to client</t>
        </is>
      </c>
    </row>
    <row r="85" ht="20" customHeight="1">
      <c r="L85" s="4" t="n">
        <v>3</v>
      </c>
      <c r="M85" s="5" t="inlineStr">
        <is>
          <t>Production access credentials transferred with least-privilege RBAC</t>
        </is>
      </c>
    </row>
    <row r="86" ht="20" customHeight="1">
      <c r="L86" s="4" t="n">
        <v>4</v>
      </c>
      <c r="M86" s="5" t="inlineStr">
        <is>
          <t>Runbook delivered to operations team</t>
        </is>
      </c>
    </row>
  </sheetData>
  <mergeCells count="18">
    <mergeCell ref="L3:M3"/>
    <mergeCell ref="L56:M56"/>
    <mergeCell ref="F3:J3"/>
    <mergeCell ref="L72:M72"/>
    <mergeCell ref="A1:M1"/>
    <mergeCell ref="L82:M82"/>
    <mergeCell ref="L62:M62"/>
    <mergeCell ref="A22:C22"/>
    <mergeCell ref="L15:M15"/>
    <mergeCell ref="L66:M66"/>
    <mergeCell ref="L27:M27"/>
    <mergeCell ref="F14:G14"/>
    <mergeCell ref="L57:M57"/>
    <mergeCell ref="L44:M44"/>
    <mergeCell ref="A20:C20"/>
    <mergeCell ref="L77:M77"/>
    <mergeCell ref="A25:J25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60" customWidth="1" min="3" max="3"/>
    <col width="14" customWidth="1" min="4" max="4"/>
    <col width="14" customWidth="1" min="5" max="5"/>
    <col width="14" customWidth="1" min="6" max="6"/>
    <col width="45" customWidth="1" min="7" max="7"/>
  </cols>
  <sheetData>
    <row r="1" ht="28" customHeight="1">
      <c r="A1" s="17" t="inlineStr">
        <is>
          <t>ECI AI PLATFORM BUILD – AI AGENT DEVELOPMENT &amp; INTEGRATION</t>
        </is>
      </c>
    </row>
    <row r="3" ht="18" customHeight="1">
      <c r="A3" s="3" t="inlineStr">
        <is>
          <t>#</t>
        </is>
      </c>
      <c r="B3" s="3" t="inlineStr">
        <is>
          <t>Task / Phase</t>
        </is>
      </c>
      <c r="C3" s="3" t="inlineStr">
        <is>
          <t>Sub-task</t>
        </is>
      </c>
      <c r="D3" s="3" t="inlineStr">
        <is>
          <t>Dev Low (hrs)</t>
        </is>
      </c>
      <c r="E3" s="3" t="inlineStr">
        <is>
          <t>Dev High (hrs)</t>
        </is>
      </c>
      <c r="F3" s="3" t="inlineStr">
        <is>
          <t>Avg (hrs)</t>
        </is>
      </c>
      <c r="G3" s="3" t="inlineStr">
        <is>
          <t>Comments</t>
        </is>
      </c>
    </row>
    <row r="4" ht="18" customHeight="1">
      <c r="A4" s="2" t="inlineStr">
        <is>
          <t>Phase 1: Discovery &amp; Design</t>
        </is>
      </c>
      <c r="D4" s="18">
        <f>SUM(D5:D13)</f>
        <v/>
      </c>
      <c r="E4" s="18">
        <f>SUM(E5:E13)</f>
        <v/>
      </c>
      <c r="F4" s="18">
        <f>(D4+E4)/2</f>
        <v/>
      </c>
      <c r="G4" s="19" t="n"/>
    </row>
    <row r="5" ht="15" customHeight="1">
      <c r="A5" s="6" t="n">
        <v>1</v>
      </c>
      <c r="C5" s="20" t="inlineStr">
        <is>
          <t>Project kickoff, scope alignment &amp; stakeholder mapping</t>
        </is>
      </c>
      <c r="D5" s="6" t="n">
        <v>10</v>
      </c>
      <c r="E5" s="6" t="n">
        <v>14</v>
      </c>
      <c r="F5" s="10">
        <f>(D5+E5)/2</f>
        <v/>
      </c>
      <c r="G5" s="20" t="inlineStr">
        <is>
          <t>Workshops with business &amp; tech leads</t>
        </is>
      </c>
    </row>
    <row r="6" ht="15" customHeight="1">
      <c r="A6" s="6" t="n">
        <v>2</v>
      </c>
      <c r="C6" s="20" t="inlineStr">
        <is>
          <t>Existing system &amp; data source review (APIs, DBs, file stores)</t>
        </is>
      </c>
      <c r="D6" s="6" t="n">
        <v>8</v>
      </c>
      <c r="E6" s="6" t="n">
        <v>12</v>
      </c>
      <c r="F6" s="10">
        <f>(D6+E6)/2</f>
        <v/>
      </c>
      <c r="G6" s="20" t="inlineStr">
        <is>
          <t>Audit current integrations &amp; data quality</t>
        </is>
      </c>
    </row>
    <row r="7" ht="15" customHeight="1">
      <c r="A7" s="6" t="n">
        <v>3</v>
      </c>
      <c r="C7" s="20" t="inlineStr">
        <is>
          <t>50–100 document sample analysis (PDFs, Word, Excel)</t>
        </is>
      </c>
      <c r="D7" s="6" t="n">
        <v>8</v>
      </c>
      <c r="E7" s="6" t="n">
        <v>12</v>
      </c>
      <c r="F7" s="10">
        <f>(D7+E7)/2</f>
        <v/>
      </c>
      <c r="G7" s="20" t="inlineStr">
        <is>
          <t>Validate content types and metadata structure</t>
        </is>
      </c>
    </row>
    <row r="8" ht="15" customHeight="1">
      <c r="A8" s="6" t="n">
        <v>4</v>
      </c>
      <c r="C8" s="20" t="inlineStr">
        <is>
          <t>Solution architecture finalization &amp; sign-off</t>
        </is>
      </c>
      <c r="D8" s="6" t="n">
        <v>6</v>
      </c>
      <c r="E8" s="6" t="n">
        <v>8</v>
      </c>
      <c r="F8" s="10">
        <f>(D8+E8)/2</f>
        <v/>
      </c>
      <c r="G8" s="20" t="inlineStr">
        <is>
          <t>Private endpoint, cloud landing zone design</t>
        </is>
      </c>
    </row>
    <row r="9" ht="15" customHeight="1">
      <c r="A9" s="6" t="n">
        <v>5</v>
      </c>
      <c r="C9" s="20" t="inlineStr">
        <is>
          <t>Technical design documentation (HLD + LLD)</t>
        </is>
      </c>
      <c r="D9" s="6" t="n">
        <v>12</v>
      </c>
      <c r="E9" s="6" t="n">
        <v>16</v>
      </c>
      <c r="F9" s="10">
        <f>(D9+E9)/2</f>
        <v/>
      </c>
      <c r="G9" s="20" t="inlineStr">
        <is>
          <t>Architecture &amp; data flow diagrams</t>
        </is>
      </c>
    </row>
    <row r="10" ht="15" customHeight="1">
      <c r="A10" s="6" t="n">
        <v>6</v>
      </c>
      <c r="C10" s="20" t="inlineStr">
        <is>
          <t>Prompt engineering design for all use cases</t>
        </is>
      </c>
      <c r="D10" s="6" t="n">
        <v>8</v>
      </c>
      <c r="E10" s="6" t="n">
        <v>12</v>
      </c>
      <c r="F10" s="10">
        <f>(D10+E10)/2</f>
        <v/>
      </c>
      <c r="G10" s="20" t="inlineStr">
        <is>
          <t>Use-case specific prompt templates</t>
        </is>
      </c>
    </row>
    <row r="11" ht="15" customHeight="1">
      <c r="A11" s="6" t="n">
        <v>7</v>
      </c>
      <c r="C11" s="20" t="inlineStr">
        <is>
          <t>KPI metric &amp; threshold definition</t>
        </is>
      </c>
      <c r="D11" s="6" t="n">
        <v>6</v>
      </c>
      <c r="E11" s="6" t="n">
        <v>10</v>
      </c>
      <c r="F11" s="10">
        <f>(D11+E11)/2</f>
        <v/>
      </c>
      <c r="G11" s="20" t="inlineStr">
        <is>
          <t>Accuracy, latency, relevance benchmarks</t>
        </is>
      </c>
    </row>
    <row r="12" ht="15" customHeight="1">
      <c r="A12" s="6" t="n">
        <v>8</v>
      </c>
      <c r="C12" s="20" t="inlineStr">
        <is>
          <t>Data governance &amp; compliance review</t>
        </is>
      </c>
      <c r="D12" s="6" t="n">
        <v>4</v>
      </c>
      <c r="E12" s="6" t="n">
        <v>6</v>
      </c>
      <c r="F12" s="10">
        <f>(D12+E12)/2</f>
        <v/>
      </c>
      <c r="G12" s="20" t="inlineStr">
        <is>
          <t>GDPR / data residency checks</t>
        </is>
      </c>
    </row>
    <row r="13" ht="15" customHeight="1">
      <c r="A13" s="6" t="n">
        <v>9</v>
      </c>
      <c r="C13" s="20" t="inlineStr">
        <is>
          <t>Risk assessment &amp; mitigation plan documentation</t>
        </is>
      </c>
      <c r="D13" s="6" t="n">
        <v>4</v>
      </c>
      <c r="E13" s="6" t="n">
        <v>6</v>
      </c>
      <c r="F13" s="10">
        <f>(D13+E13)/2</f>
        <v/>
      </c>
      <c r="G13" s="20" t="inlineStr">
        <is>
          <t>Risk register creation</t>
        </is>
      </c>
    </row>
    <row r="15" ht="18" customHeight="1">
      <c r="A15" s="2" t="inlineStr">
        <is>
          <t>Phase 2: Data Ingestion &amp; Processing Pipeline</t>
        </is>
      </c>
      <c r="D15" s="18">
        <f>SUM(D16:D24)</f>
        <v/>
      </c>
      <c r="E15" s="18">
        <f>SUM(E16:E24)</f>
        <v/>
      </c>
      <c r="F15" s="18">
        <f>(D15+E15)/2</f>
        <v/>
      </c>
      <c r="G15" s="19" t="n"/>
    </row>
    <row r="16" ht="15" customHeight="1">
      <c r="A16" s="6" t="n">
        <v>10</v>
      </c>
      <c r="C16" s="20" t="inlineStr">
        <is>
          <t>Connector setup for source systems (REST API, SharePoint, SQL)</t>
        </is>
      </c>
      <c r="D16" s="6" t="n">
        <v>8</v>
      </c>
      <c r="E16" s="6" t="n">
        <v>12</v>
      </c>
      <c r="F16" s="10">
        <f>(D16+E16)/2</f>
        <v/>
      </c>
      <c r="G16" s="20" t="inlineStr">
        <is>
          <t>One-time ingestion pipeline per source</t>
        </is>
      </c>
    </row>
    <row r="17" ht="15" customHeight="1">
      <c r="A17" s="6" t="n">
        <v>11</v>
      </c>
      <c r="C17" s="20" t="inlineStr">
        <is>
          <t>PDF/Word/Excel parsing, extraction &amp; metadata tagging</t>
        </is>
      </c>
      <c r="D17" s="6" t="n">
        <v>10</v>
      </c>
      <c r="E17" s="6" t="n">
        <v>14</v>
      </c>
      <c r="F17" s="10">
        <f>(D17+E17)/2</f>
        <v/>
      </c>
      <c r="G17" s="20" t="inlineStr">
        <is>
          <t>Multi-format document processing</t>
        </is>
      </c>
    </row>
    <row r="18" ht="15" customHeight="1">
      <c r="A18" s="6" t="n">
        <v>12</v>
      </c>
      <c r="C18" s="20" t="inlineStr">
        <is>
          <t>Intelligent chunking strategy &amp; overlap configuration</t>
        </is>
      </c>
      <c r="D18" s="6" t="n">
        <v>6</v>
      </c>
      <c r="E18" s="6" t="n">
        <v>10</v>
      </c>
      <c r="F18" s="10">
        <f>(D18+E18)/2</f>
        <v/>
      </c>
      <c r="G18" s="20" t="inlineStr">
        <is>
          <t>Optimised for RAG retrieval accuracy</t>
        </is>
      </c>
    </row>
    <row r="19" ht="15" customHeight="1">
      <c r="A19" s="6" t="n">
        <v>13</v>
      </c>
      <c r="C19" s="20" t="inlineStr">
        <is>
          <t>Azure OpenAI embedding integration (2 embedding models)</t>
        </is>
      </c>
      <c r="D19" s="6" t="n">
        <v>14</v>
      </c>
      <c r="E19" s="6" t="n">
        <v>18</v>
      </c>
      <c r="F19" s="10">
        <f>(D19+E19)/2</f>
        <v/>
      </c>
      <c r="G19" s="20" t="inlineStr">
        <is>
          <t>text-embedding-3-large + ada-002</t>
        </is>
      </c>
    </row>
    <row r="20" ht="15" customHeight="1">
      <c r="A20" s="6" t="n">
        <v>14</v>
      </c>
      <c r="C20" s="20" t="inlineStr">
        <is>
          <t>One-time embedding generation for all source documents</t>
        </is>
      </c>
      <c r="D20" s="6" t="n">
        <v>12</v>
      </c>
      <c r="E20" s="6" t="n">
        <v>16</v>
      </c>
      <c r="F20" s="10">
        <f>(D20+E20)/2</f>
        <v/>
      </c>
      <c r="G20" s="20" t="inlineStr">
        <is>
          <t>Full corpus vectorisation</t>
        </is>
      </c>
    </row>
    <row r="21" ht="15" customHeight="1">
      <c r="A21" s="6" t="n">
        <v>15</v>
      </c>
      <c r="C21" s="20" t="inlineStr">
        <is>
          <t>Azure AI Search schema design + hybrid search config</t>
        </is>
      </c>
      <c r="D21" s="6" t="n">
        <v>16</v>
      </c>
      <c r="E21" s="6" t="n">
        <v>22</v>
      </c>
      <c r="F21" s="10">
        <f>(D21+E21)/2</f>
        <v/>
      </c>
      <c r="G21" s="20" t="inlineStr">
        <is>
          <t>Vector + BM25 keyword hybrid index</t>
        </is>
      </c>
    </row>
    <row r="22" ht="15" customHeight="1">
      <c r="A22" s="6" t="n">
        <v>16</v>
      </c>
      <c r="C22" s="20" t="inlineStr">
        <is>
          <t>Azure SQL metadata store design &amp; population</t>
        </is>
      </c>
      <c r="D22" s="6" t="n">
        <v>6</v>
      </c>
      <c r="E22" s="6" t="n">
        <v>10</v>
      </c>
      <c r="F22" s="10">
        <f>(D22+E22)/2</f>
        <v/>
      </c>
      <c r="G22" s="20" t="inlineStr">
        <is>
          <t>Structured lookup tables</t>
        </is>
      </c>
    </row>
    <row r="23" ht="15" customHeight="1">
      <c r="A23" s="6" t="n">
        <v>17</v>
      </c>
      <c r="C23" s="20" t="inlineStr">
        <is>
          <t>Data validation &amp; ingestion QA</t>
        </is>
      </c>
      <c r="D23" s="6" t="n">
        <v>4</v>
      </c>
      <c r="E23" s="6" t="n">
        <v>6</v>
      </c>
      <c r="F23" s="10">
        <f>(D23+E23)/2</f>
        <v/>
      </c>
      <c r="G23" s="20" t="inlineStr">
        <is>
          <t>Spot-check retrieval quality</t>
        </is>
      </c>
    </row>
    <row r="24" ht="15" customHeight="1">
      <c r="A24" s="6" t="n">
        <v>18</v>
      </c>
      <c r="C24" s="20" t="inlineStr">
        <is>
          <t>Automated re-ingestion trigger (delta updates)</t>
        </is>
      </c>
      <c r="D24" s="6" t="n">
        <v>6</v>
      </c>
      <c r="E24" s="6" t="n">
        <v>10</v>
      </c>
      <c r="F24" s="10">
        <f>(D24+E24)/2</f>
        <v/>
      </c>
      <c r="G24" s="20" t="inlineStr">
        <is>
          <t>Scheduled incremental sync</t>
        </is>
      </c>
    </row>
    <row r="26" ht="18" customHeight="1">
      <c r="A26" s="2" t="inlineStr">
        <is>
          <t>Phase 3: AI Agent Development</t>
        </is>
      </c>
      <c r="D26" s="18">
        <f>SUM(D27:D38)</f>
        <v/>
      </c>
      <c r="E26" s="18">
        <f>SUM(E27:E38)</f>
        <v/>
      </c>
      <c r="F26" s="18">
        <f>(D26+E26)/2</f>
        <v/>
      </c>
      <c r="G26" s="19" t="n"/>
    </row>
    <row r="27" ht="15" customHeight="1">
      <c r="A27" s="6" t="n">
        <v>19</v>
      </c>
      <c r="C27" s="20" t="inlineStr">
        <is>
          <t>Use Case 1: Document Q&amp;A – prompt engineering &amp; RAG pipeline</t>
        </is>
      </c>
      <c r="D27" s="6" t="n">
        <v>10</v>
      </c>
      <c r="E27" s="6" t="n">
        <v>14</v>
      </c>
      <c r="F27" s="10">
        <f>(D27+E27)/2</f>
        <v/>
      </c>
      <c r="G27" s="20" t="inlineStr">
        <is>
          <t>Natural language Q&amp;A over enterprise docs</t>
        </is>
      </c>
    </row>
    <row r="28" ht="15" customHeight="1">
      <c r="A28" s="6" t="n">
        <v>20</v>
      </c>
      <c r="C28" s="20" t="inlineStr">
        <is>
          <t>Use Case 1: Contextual answer generation with citation</t>
        </is>
      </c>
      <c r="D28" s="6" t="n">
        <v>10</v>
      </c>
      <c r="E28" s="6" t="n">
        <v>14</v>
      </c>
      <c r="F28" s="10">
        <f>(D28+E28)/2</f>
        <v/>
      </c>
      <c r="G28" s="20" t="inlineStr">
        <is>
          <t>Source attribution for every response</t>
        </is>
      </c>
    </row>
    <row r="29" ht="15" customHeight="1">
      <c r="A29" s="6" t="n">
        <v>21</v>
      </c>
      <c r="C29" s="20" t="inlineStr">
        <is>
          <t>Use Case 1: Adaptive Card trigger &amp; response formatting (Teams)</t>
        </is>
      </c>
      <c r="D29" s="6" t="n">
        <v>6</v>
      </c>
      <c r="E29" s="6" t="n">
        <v>8</v>
      </c>
      <c r="F29" s="10">
        <f>(D29+E29)/2</f>
        <v/>
      </c>
      <c r="G29" s="20" t="inlineStr">
        <is>
          <t>Trigger via Teams; output as rich card</t>
        </is>
      </c>
    </row>
    <row r="30" ht="15" customHeight="1">
      <c r="A30" s="6" t="n">
        <v>22</v>
      </c>
      <c r="C30" s="20" t="inlineStr">
        <is>
          <t>Use Case 2: Intelligent Report Summarisation – RAG pipeline</t>
        </is>
      </c>
      <c r="D30" s="6" t="n">
        <v>10</v>
      </c>
      <c r="E30" s="6" t="n">
        <v>14</v>
      </c>
      <c r="F30" s="10">
        <f>(D30+E30)/2</f>
        <v/>
      </c>
      <c r="G30" s="20" t="inlineStr">
        <is>
          <t>Auto-summarise lengthy reports</t>
        </is>
      </c>
    </row>
    <row r="31" ht="15" customHeight="1">
      <c r="A31" s="6" t="n">
        <v>23</v>
      </c>
      <c r="C31" s="20" t="inlineStr">
        <is>
          <t>Use Case 2: Multi-document synthesis &amp; comparison logic</t>
        </is>
      </c>
      <c r="D31" s="6" t="n">
        <v>8</v>
      </c>
      <c r="E31" s="6" t="n">
        <v>12</v>
      </c>
      <c r="F31" s="10">
        <f>(D31+E31)/2</f>
        <v/>
      </c>
      <c r="G31" s="20" t="inlineStr">
        <is>
          <t>Cross-document insights</t>
        </is>
      </c>
    </row>
    <row r="32" ht="15" customHeight="1">
      <c r="A32" s="6" t="n">
        <v>24</v>
      </c>
      <c r="C32" s="20" t="inlineStr">
        <is>
          <t>Use Case 2: Structured summary output &amp; export (Word/PDF)</t>
        </is>
      </c>
      <c r="D32" s="6" t="n">
        <v>6</v>
      </c>
      <c r="E32" s="6" t="n">
        <v>8</v>
      </c>
      <c r="F32" s="10">
        <f>(D32+E32)/2</f>
        <v/>
      </c>
      <c r="G32" s="20" t="inlineStr">
        <is>
          <t>Formatted downloadable summaries</t>
        </is>
      </c>
    </row>
    <row r="33" ht="15" customHeight="1">
      <c r="A33" s="6" t="n">
        <v>25</v>
      </c>
      <c r="C33" s="20" t="inlineStr">
        <is>
          <t>Use Case 3: Anomaly &amp; Insight Detection from structured data</t>
        </is>
      </c>
      <c r="D33" s="6" t="n">
        <v>8</v>
      </c>
      <c r="E33" s="6" t="n">
        <v>12</v>
      </c>
      <c r="F33" s="10">
        <f>(D33+E33)/2</f>
        <v/>
      </c>
      <c r="G33" s="20" t="inlineStr">
        <is>
          <t>Flag outliers, trends &amp; exceptions</t>
        </is>
      </c>
    </row>
    <row r="34" ht="15" customHeight="1">
      <c r="A34" s="6" t="n">
        <v>26</v>
      </c>
      <c r="C34" s="20" t="inlineStr">
        <is>
          <t>Multi-model evaluation – GPT-4o vs GPT-4o-mini + 2 embedding models</t>
        </is>
      </c>
      <c r="D34" s="6" t="n">
        <v>6</v>
      </c>
      <c r="E34" s="6" t="n">
        <v>8</v>
      </c>
      <c r="F34" s="10">
        <f>(D34+E34)/2</f>
        <v/>
      </c>
      <c r="G34" s="20" t="inlineStr">
        <is>
          <t>Compare quality vs cost</t>
        </is>
      </c>
    </row>
    <row r="35" ht="15" customHeight="1">
      <c r="A35" s="6" t="n">
        <v>27</v>
      </c>
      <c r="C35" s="20" t="inlineStr">
        <is>
          <t>Prompt logging (Azure Monitor / Log Analytics)</t>
        </is>
      </c>
      <c r="D35" s="6" t="n">
        <v>4</v>
      </c>
      <c r="E35" s="6" t="n">
        <v>6</v>
      </c>
      <c r="F35" s="10">
        <f>(D35+E35)/2</f>
        <v/>
      </c>
      <c r="G35" s="20" t="inlineStr">
        <is>
          <t>Full audit trail</t>
        </is>
      </c>
    </row>
    <row r="36" ht="15" customHeight="1">
      <c r="A36" s="6" t="n">
        <v>28</v>
      </c>
      <c r="C36" s="20" t="inlineStr">
        <is>
          <t>Security controls – Key Vault, Entra ID managed identity</t>
        </is>
      </c>
      <c r="D36" s="6" t="n">
        <v>4</v>
      </c>
      <c r="E36" s="6" t="n">
        <v>8</v>
      </c>
      <c r="F36" s="10">
        <f>(D36+E36)/2</f>
        <v/>
      </c>
      <c r="G36" s="20" t="inlineStr">
        <is>
          <t>Least-privilege per-user controls</t>
        </is>
      </c>
    </row>
    <row r="37" ht="15" customHeight="1">
      <c r="A37" s="6" t="n">
        <v>29</v>
      </c>
      <c r="C37" s="20" t="inlineStr">
        <is>
          <t>Rate limiting &amp; user authorisation (10 POC users)</t>
        </is>
      </c>
      <c r="D37" s="6" t="n">
        <v>4</v>
      </c>
      <c r="E37" s="6" t="n">
        <v>6</v>
      </c>
      <c r="F37" s="10">
        <f>(D37+E37)/2</f>
        <v/>
      </c>
      <c r="G37" s="20" t="inlineStr">
        <is>
          <t>Azure AD group-based access</t>
        </is>
      </c>
    </row>
    <row r="38" ht="15" customHeight="1">
      <c r="A38" s="6" t="n">
        <v>30</v>
      </c>
      <c r="C38" s="20" t="inlineStr">
        <is>
          <t>Conversation memory &amp; session management</t>
        </is>
      </c>
      <c r="D38" s="6" t="n">
        <v>4</v>
      </c>
      <c r="E38" s="6" t="n">
        <v>6</v>
      </c>
      <c r="F38" s="10">
        <f>(D38+E38)/2</f>
        <v/>
      </c>
      <c r="G38" s="20" t="inlineStr">
        <is>
          <t>Short-term context retention</t>
        </is>
      </c>
    </row>
    <row r="40" ht="18" customHeight="1">
      <c r="A40" s="2" t="inlineStr">
        <is>
          <t>Phase 4: Teams Bot Development (Copilot Studio)</t>
        </is>
      </c>
      <c r="D40" s="18">
        <f>SUM(D41:D47)</f>
        <v/>
      </c>
      <c r="E40" s="18">
        <f>SUM(E41:E47)</f>
        <v/>
      </c>
      <c r="F40" s="18">
        <f>(D40+E40)/2</f>
        <v/>
      </c>
      <c r="G40" s="19" t="n"/>
    </row>
    <row r="41" ht="15" customHeight="1">
      <c r="A41" s="6" t="n">
        <v>31</v>
      </c>
      <c r="C41" s="20" t="inlineStr">
        <is>
          <t>Backend REST API (FastAPI) – bot orchestration layer</t>
        </is>
      </c>
      <c r="D41" s="6" t="n">
        <v>10</v>
      </c>
      <c r="E41" s="6" t="n">
        <v>14</v>
      </c>
      <c r="F41" s="10">
        <f>(D41+E41)/2</f>
        <v/>
      </c>
      <c r="G41" s="20" t="inlineStr">
        <is>
          <t>Query routing to AI agent</t>
        </is>
      </c>
    </row>
    <row r="42" ht="15" customHeight="1">
      <c r="A42" s="6" t="n">
        <v>32</v>
      </c>
      <c r="C42" s="20" t="inlineStr">
        <is>
          <t>Azure AD / Entra SSO integration</t>
        </is>
      </c>
      <c r="D42" s="6" t="n">
        <v>4</v>
      </c>
      <c r="E42" s="6" t="n">
        <v>6</v>
      </c>
      <c r="F42" s="10">
        <f>(D42+E42)/2</f>
        <v/>
      </c>
      <c r="G42" s="20" t="inlineStr">
        <is>
          <t>Teams identity &amp; service principal</t>
        </is>
      </c>
    </row>
    <row r="43" ht="15" customHeight="1">
      <c r="A43" s="6" t="n">
        <v>33</v>
      </c>
      <c r="C43" s="20" t="inlineStr">
        <is>
          <t>Copilot Studio bot config &amp; Teams channel publishing</t>
        </is>
      </c>
      <c r="D43" s="6" t="n">
        <v>6</v>
      </c>
      <c r="E43" s="6" t="n">
        <v>8</v>
      </c>
      <c r="F43" s="10">
        <f>(D43+E43)/2</f>
        <v/>
      </c>
      <c r="G43" s="20" t="inlineStr">
        <is>
          <t>Teams bot channel deployment</t>
        </is>
      </c>
    </row>
    <row r="44" ht="15" customHeight="1">
      <c r="A44" s="6" t="n">
        <v>34</v>
      </c>
      <c r="C44" s="20" t="inlineStr">
        <is>
          <t>Adaptive cards / rich response formatting (all 3 use cases)</t>
        </is>
      </c>
      <c r="D44" s="6" t="n">
        <v>6</v>
      </c>
      <c r="E44" s="6" t="n">
        <v>8</v>
      </c>
      <c r="F44" s="10">
        <f>(D44+E44)/2</f>
        <v/>
      </c>
      <c r="G44" s="20" t="inlineStr">
        <is>
          <t>Structured output per use case</t>
        </is>
      </c>
    </row>
    <row r="45" ht="15" customHeight="1">
      <c r="A45" s="6" t="n">
        <v>35</v>
      </c>
      <c r="C45" s="20" t="inlineStr">
        <is>
          <t>Feedback collection &amp; thumbs-up/down logging</t>
        </is>
      </c>
      <c r="D45" s="6" t="n">
        <v>4</v>
      </c>
      <c r="E45" s="6" t="n">
        <v>6</v>
      </c>
      <c r="F45" s="10">
        <f>(D45+E45)/2</f>
        <v/>
      </c>
      <c r="G45" s="20" t="inlineStr">
        <is>
          <t>User satisfaction tracking</t>
        </is>
      </c>
    </row>
    <row r="46" ht="15" customHeight="1">
      <c r="A46" s="6" t="n">
        <v>36</v>
      </c>
      <c r="C46" s="20" t="inlineStr">
        <is>
          <t>End-to-end conversation flow testing</t>
        </is>
      </c>
      <c r="D46" s="6" t="n">
        <v>4</v>
      </c>
      <c r="E46" s="6" t="n">
        <v>8</v>
      </c>
      <c r="F46" s="10">
        <f>(D46+E46)/2</f>
        <v/>
      </c>
      <c r="G46" s="20" t="inlineStr">
        <is>
          <t>Validate all use case flows in Teams</t>
        </is>
      </c>
    </row>
    <row r="47" ht="15" customHeight="1">
      <c r="A47" s="6" t="n">
        <v>37</v>
      </c>
      <c r="C47" s="20" t="inlineStr">
        <is>
          <t>Multi-language support configuration (English + 1 additional)</t>
        </is>
      </c>
      <c r="D47" s="6" t="n">
        <v>4</v>
      </c>
      <c r="E47" s="6" t="n">
        <v>6</v>
      </c>
      <c r="F47" s="10">
        <f>(D47+E47)/2</f>
        <v/>
      </c>
      <c r="G47" s="20" t="inlineStr">
        <is>
          <t>Locale-aware prompts</t>
        </is>
      </c>
    </row>
    <row r="49" ht="18" customHeight="1">
      <c r="A49" s="2" t="inlineStr">
        <is>
          <t>Phase 5: Testing &amp; UAT</t>
        </is>
      </c>
      <c r="D49" s="18">
        <f>SUM(D50:D57)</f>
        <v/>
      </c>
      <c r="E49" s="18">
        <f>SUM(E50:E57)</f>
        <v/>
      </c>
      <c r="F49" s="18">
        <f>(D49+E49)/2</f>
        <v/>
      </c>
      <c r="G49" s="19" t="n"/>
    </row>
    <row r="50" ht="15" customHeight="1">
      <c r="A50" s="6" t="n">
        <v>38</v>
      </c>
      <c r="C50" s="20" t="inlineStr">
        <is>
          <t>Unit testing – all agent components</t>
        </is>
      </c>
      <c r="D50" s="6" t="n">
        <v>6</v>
      </c>
      <c r="E50" s="6" t="n">
        <v>10</v>
      </c>
      <c r="F50" s="10">
        <f>(D50+E50)/2</f>
        <v/>
      </c>
      <c r="G50" s="20" t="inlineStr">
        <is>
          <t>Function-level tests for all use cases</t>
        </is>
      </c>
    </row>
    <row r="51" ht="15" customHeight="1">
      <c r="A51" s="6" t="n">
        <v>39</v>
      </c>
      <c r="C51" s="20" t="inlineStr">
        <is>
          <t>Integration testing – end-to-end workflow (all 3 use cases)</t>
        </is>
      </c>
      <c r="D51" s="6" t="n">
        <v>8</v>
      </c>
      <c r="E51" s="6" t="n">
        <v>12</v>
      </c>
      <c r="F51" s="10">
        <f>(D51+E51)/2</f>
        <v/>
      </c>
      <c r="G51" s="20" t="inlineStr">
        <is>
          <t>Source → Agent → Teams validation</t>
        </is>
      </c>
    </row>
    <row r="52" ht="15" customHeight="1">
      <c r="A52" s="6" t="n">
        <v>40</v>
      </c>
      <c r="C52" s="20" t="inlineStr">
        <is>
          <t>Prompt engineering tuning (all use cases)</t>
        </is>
      </c>
      <c r="D52" s="6" t="n">
        <v>8</v>
      </c>
      <c r="E52" s="6" t="n">
        <v>12</v>
      </c>
      <c r="F52" s="10">
        <f>(D52+E52)/2</f>
        <v/>
      </c>
      <c r="G52" s="20" t="inlineStr">
        <is>
          <t>Optimise against KPI thresholds</t>
        </is>
      </c>
    </row>
    <row r="53" ht="15" customHeight="1">
      <c r="A53" s="6" t="n">
        <v>41</v>
      </c>
      <c r="C53" s="20" t="inlineStr">
        <is>
          <t>Performance testing – response time target &lt;8s</t>
        </is>
      </c>
      <c r="D53" s="6" t="n">
        <v>4</v>
      </c>
      <c r="E53" s="6" t="n">
        <v>6</v>
      </c>
      <c r="F53" s="10">
        <f>(D53+E53)/2</f>
        <v/>
      </c>
      <c r="G53" s="20" t="inlineStr">
        <is>
          <t>10 concurrent users simulation</t>
        </is>
      </c>
    </row>
    <row r="54" ht="15" customHeight="1">
      <c r="A54" s="6" t="n">
        <v>42</v>
      </c>
      <c r="C54" s="20" t="inlineStr">
        <is>
          <t>Security testing – auth, authorisation, data isolation</t>
        </is>
      </c>
      <c r="D54" s="6" t="n">
        <v>4</v>
      </c>
      <c r="E54" s="6" t="n">
        <v>6</v>
      </c>
      <c r="F54" s="10">
        <f>(D54+E54)/2</f>
        <v/>
      </c>
      <c r="G54" s="20" t="inlineStr">
        <is>
          <t>Pen-test checklist</t>
        </is>
      </c>
    </row>
    <row r="55" ht="15" customHeight="1">
      <c r="A55" s="6" t="n">
        <v>43</v>
      </c>
      <c r="C55" s="20" t="inlineStr">
        <is>
          <t>UAT coordination with 10 users (50–100 queries each)</t>
        </is>
      </c>
      <c r="D55" s="6" t="n">
        <v>4</v>
      </c>
      <c r="E55" s="6" t="n">
        <v>6</v>
      </c>
      <c r="F55" s="10">
        <f>(D55+E55)/2</f>
        <v/>
      </c>
      <c r="G55" s="20" t="inlineStr">
        <is>
          <t>Real queries across all use cases</t>
        </is>
      </c>
    </row>
    <row r="56" ht="15" customHeight="1">
      <c r="A56" s="6" t="n">
        <v>44</v>
      </c>
      <c r="C56" s="20" t="inlineStr">
        <is>
          <t>Accessibility &amp; UX review of Teams adaptive cards</t>
        </is>
      </c>
      <c r="D56" s="6" t="n">
        <v>2</v>
      </c>
      <c r="E56" s="6" t="n">
        <v>4</v>
      </c>
      <c r="F56" s="10">
        <f>(D56+E56)/2</f>
        <v/>
      </c>
      <c r="G56" s="20" t="inlineStr">
        <is>
          <t>WCAG 2.1 AA compliance check</t>
        </is>
      </c>
    </row>
    <row r="57" ht="15" customHeight="1">
      <c r="A57" s="6" t="n">
        <v>45</v>
      </c>
      <c r="C57" s="20" t="inlineStr">
        <is>
          <t>Feedback incorporation &amp; bug fixes</t>
        </is>
      </c>
      <c r="D57" s="6" t="n">
        <v>6</v>
      </c>
      <c r="E57" s="6" t="n">
        <v>8</v>
      </c>
      <c r="F57" s="10">
        <f>(D57+E57)/2</f>
        <v/>
      </c>
      <c r="G57" s="20" t="inlineStr">
        <is>
          <t>Address UAT findings</t>
        </is>
      </c>
    </row>
    <row r="59" ht="18" customHeight="1">
      <c r="A59" s="2" t="inlineStr">
        <is>
          <t>Phase 6: Production Deployment &amp; Handover</t>
        </is>
      </c>
      <c r="D59" s="18">
        <f>SUM(D60:D64)</f>
        <v/>
      </c>
      <c r="E59" s="18">
        <f>SUM(E60:E64)</f>
        <v/>
      </c>
      <c r="F59" s="18">
        <f>(D59+E59)/2</f>
        <v/>
      </c>
      <c r="G59" s="19" t="n"/>
    </row>
    <row r="60" ht="15" customHeight="1">
      <c r="A60" s="6" t="n">
        <v>46</v>
      </c>
      <c r="C60" s="20" t="inlineStr">
        <is>
          <t>Architecture documentation with diagrams (HLD + LLD)</t>
        </is>
      </c>
      <c r="D60" s="6" t="n">
        <v>4</v>
      </c>
      <c r="E60" s="6" t="n">
        <v>6</v>
      </c>
      <c r="F60" s="10">
        <f>(D60+E60)/2</f>
        <v/>
      </c>
      <c r="G60" s="20" t="inlineStr">
        <is>
          <t>Technical design docs delivered</t>
        </is>
      </c>
    </row>
    <row r="61" ht="15" customHeight="1">
      <c r="A61" s="6" t="n">
        <v>47</v>
      </c>
      <c r="C61" s="20" t="inlineStr">
        <is>
          <t>User guide creation (with screenshots &amp; video walkthroughs)</t>
        </is>
      </c>
      <c r="D61" s="6" t="n">
        <v>4</v>
      </c>
      <c r="E61" s="6" t="n">
        <v>6</v>
      </c>
      <c r="F61" s="10">
        <f>(D61+E61)/2</f>
        <v/>
      </c>
      <c r="G61" s="20" t="inlineStr">
        <is>
          <t>End-user how-to guide for all use cases</t>
        </is>
      </c>
    </row>
    <row r="62" ht="15" customHeight="1">
      <c r="A62" s="6" t="n">
        <v>48</v>
      </c>
      <c r="C62" s="20" t="inlineStr">
        <is>
          <t>End-user training sessions (2 × 2 hrs, recorded)</t>
        </is>
      </c>
      <c r="D62" s="6" t="n">
        <v>4</v>
      </c>
      <c r="E62" s="6" t="n">
        <v>4</v>
      </c>
      <c r="F62" s="10">
        <f>(D62+E62)/2</f>
        <v/>
      </c>
      <c r="G62" s="20" t="inlineStr">
        <is>
          <t>How to use Teams bot for all use cases</t>
        </is>
      </c>
    </row>
    <row r="63" ht="15" customHeight="1">
      <c r="A63" s="6" t="n">
        <v>49</v>
      </c>
      <c r="C63" s="20" t="inlineStr">
        <is>
          <t>Runbook for ops team (monitoring, alerts, re-ingestion)</t>
        </is>
      </c>
      <c r="D63" s="6" t="n">
        <v>2</v>
      </c>
      <c r="E63" s="6" t="n">
        <v>4</v>
      </c>
      <c r="F63" s="10">
        <f>(D63+E63)/2</f>
        <v/>
      </c>
      <c r="G63" s="20" t="inlineStr">
        <is>
          <t>Operational handover guide</t>
        </is>
      </c>
    </row>
    <row r="64" ht="15" customHeight="1">
      <c r="A64" s="6" t="n">
        <v>50</v>
      </c>
      <c r="C64" s="20" t="inlineStr">
        <is>
          <t>Production cutover, smoke testing &amp; go-live sign-off</t>
        </is>
      </c>
      <c r="D64" s="6" t="n">
        <v>2</v>
      </c>
      <c r="E64" s="6" t="n">
        <v>4</v>
      </c>
      <c r="F64" s="10">
        <f>(D64+E64)/2</f>
        <v/>
      </c>
      <c r="G64" s="20" t="inlineStr">
        <is>
          <t>Final deployment validation</t>
        </is>
      </c>
    </row>
    <row r="66" ht="18" customHeight="1">
      <c r="A66" s="21" t="inlineStr">
        <is>
          <t>Project Management (10% of dev hours)</t>
        </is>
      </c>
      <c r="D66" s="3">
        <f>(D4+D15+D26+D40+D49+D59)*0.1</f>
        <v/>
      </c>
      <c r="E66" s="3">
        <f>(E4+E15+E26+E40+E49+E59)*0.1</f>
        <v/>
      </c>
      <c r="F66" s="3">
        <f>(D66+E66)/2</f>
        <v/>
      </c>
      <c r="G66" s="22" t="inlineStr">
        <is>
          <t>Throughout project</t>
        </is>
      </c>
    </row>
    <row r="67" ht="20" customHeight="1">
      <c r="A67" s="23" t="inlineStr">
        <is>
          <t>TOTAL PROJECT HOURS</t>
        </is>
      </c>
      <c r="D67" s="24">
        <f>D4+D15+D26+D40+D49+D59+D66</f>
        <v/>
      </c>
      <c r="E67" s="24">
        <f>E4+E15+E26+E40+E49+E59+E66</f>
        <v/>
      </c>
      <c r="F67" s="24">
        <f>(D67+E67)/2</f>
        <v/>
      </c>
      <c r="G67" s="25" t="inlineStr">
        <is>
          <t>Average hours noted for reference</t>
        </is>
      </c>
    </row>
  </sheetData>
  <mergeCells count="9">
    <mergeCell ref="A1:G1"/>
    <mergeCell ref="A49:C49"/>
    <mergeCell ref="A66:C66"/>
    <mergeCell ref="A59:C59"/>
    <mergeCell ref="A40:C40"/>
    <mergeCell ref="A67:C67"/>
    <mergeCell ref="A15:C15"/>
    <mergeCell ref="A4:C4"/>
    <mergeCell ref="A26:C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5" customWidth="1" min="3" max="3"/>
    <col width="14" customWidth="1" min="4" max="4"/>
    <col width="14" customWidth="1" min="5" max="5"/>
    <col width="14" customWidth="1" min="6" max="6"/>
    <col width="45" customWidth="1" min="7" max="7"/>
  </cols>
  <sheetData>
    <row r="1" ht="28" customHeight="1">
      <c r="A1" s="17" t="inlineStr">
        <is>
          <t>ECI AI PLATFORM BUILD – DEVOPS &amp; INFRASTRUCTURE PROVISIONING</t>
        </is>
      </c>
    </row>
    <row r="3" ht="18" customHeight="1">
      <c r="A3" s="3" t="inlineStr">
        <is>
          <t>#</t>
        </is>
      </c>
      <c r="B3" s="3" t="inlineStr">
        <is>
          <t>Task / Phase</t>
        </is>
      </c>
      <c r="C3" s="3" t="inlineStr">
        <is>
          <t>Sub-task</t>
        </is>
      </c>
      <c r="D3" s="3" t="inlineStr">
        <is>
          <t>Dev Low (hrs)</t>
        </is>
      </c>
      <c r="E3" s="3" t="inlineStr">
        <is>
          <t>Dev High (hrs)</t>
        </is>
      </c>
      <c r="F3" s="3" t="inlineStr">
        <is>
          <t>Avg (hrs)</t>
        </is>
      </c>
      <c r="G3" s="3" t="inlineStr">
        <is>
          <t>Comments</t>
        </is>
      </c>
    </row>
    <row r="4" ht="18" customHeight="1">
      <c r="A4" s="2" t="inlineStr">
        <is>
          <t>Azure Environment Setup</t>
        </is>
      </c>
      <c r="D4" s="18">
        <f>SUM(D5:D16)</f>
        <v/>
      </c>
      <c r="E4" s="18">
        <f>SUM(E5:E16)</f>
        <v/>
      </c>
      <c r="F4" s="18">
        <f>(D4+E4)/2</f>
        <v/>
      </c>
      <c r="G4" s="19" t="n"/>
    </row>
    <row r="5" ht="15" customHeight="1">
      <c r="A5" s="6" t="n">
        <v>1</v>
      </c>
      <c r="C5" s="20" t="inlineStr">
        <is>
          <t>Azure Resource Group, VNet &amp; Subnets provisioning</t>
        </is>
      </c>
      <c r="D5" s="6" t="n">
        <v>2</v>
      </c>
      <c r="E5" s="6" t="n">
        <v>3</v>
      </c>
      <c r="F5" s="10">
        <f>(D5+E5)/2</f>
        <v/>
      </c>
      <c r="G5" s="20" t="inlineStr">
        <is>
          <t>Isolated network foundation</t>
        </is>
      </c>
    </row>
    <row r="6" ht="15" customHeight="1">
      <c r="A6" s="6" t="n">
        <v>2</v>
      </c>
      <c r="C6" s="20" t="inlineStr">
        <is>
          <t>Private endpoints &amp; Private Link config (all services)</t>
        </is>
      </c>
      <c r="D6" s="6" t="n">
        <v>8</v>
      </c>
      <c r="E6" s="6" t="n">
        <v>12</v>
      </c>
      <c r="F6" s="10">
        <f>(D6+E6)/2</f>
        <v/>
      </c>
      <c r="G6" s="20" t="inlineStr">
        <is>
          <t>All services off public internet</t>
        </is>
      </c>
    </row>
    <row r="7" ht="15" customHeight="1">
      <c r="A7" s="6" t="n">
        <v>3</v>
      </c>
      <c r="C7" s="20" t="inlineStr">
        <is>
          <t>Azure AI Foundry workspace setup &amp; model deployments</t>
        </is>
      </c>
      <c r="D7" s="6" t="n">
        <v>4</v>
      </c>
      <c r="E7" s="6" t="n">
        <v>6</v>
      </c>
      <c r="F7" s="10">
        <f>(D7+E7)/2</f>
        <v/>
      </c>
      <c r="G7" s="20" t="inlineStr">
        <is>
          <t>GPT-4o + GPT-4o-mini + embedding models</t>
        </is>
      </c>
    </row>
    <row r="8" ht="15" customHeight="1">
      <c r="A8" s="6" t="n">
        <v>4</v>
      </c>
      <c r="C8" s="20" t="inlineStr">
        <is>
          <t>Azure AI Search instance (Standard S1) provisioning</t>
        </is>
      </c>
      <c r="D8" s="6" t="n">
        <v>2</v>
      </c>
      <c r="E8" s="6" t="n">
        <v>4</v>
      </c>
      <c r="F8" s="10">
        <f>(D8+E8)/2</f>
        <v/>
      </c>
      <c r="G8" s="20" t="inlineStr">
        <is>
          <t>Vector + keyword hybrid search</t>
        </is>
      </c>
    </row>
    <row r="9" ht="15" customHeight="1">
      <c r="A9" s="6" t="n">
        <v>5</v>
      </c>
      <c r="C9" s="20" t="inlineStr">
        <is>
          <t>Azure App Service (P2V3) for bot backend</t>
        </is>
      </c>
      <c r="D9" s="6" t="n">
        <v>2</v>
      </c>
      <c r="E9" s="6" t="n">
        <v>3</v>
      </c>
      <c r="F9" s="10">
        <f>(D9+E9)/2</f>
        <v/>
      </c>
      <c r="G9" s="20" t="inlineStr">
        <is>
          <t>REST API hosting for FastAPI backend</t>
        </is>
      </c>
    </row>
    <row r="10" ht="15" customHeight="1">
      <c r="A10" s="6" t="n">
        <v>6</v>
      </c>
      <c r="C10" s="20" t="inlineStr">
        <is>
          <t>Azure Key Vault &amp; secrets configuration</t>
        </is>
      </c>
      <c r="D10" s="6" t="n">
        <v>2</v>
      </c>
      <c r="E10" s="6" t="n">
        <v>4</v>
      </c>
      <c r="F10" s="10">
        <f>(D10+E10)/2</f>
        <v/>
      </c>
      <c r="G10" s="20" t="inlineStr">
        <is>
          <t>API keys, credentials, managed identity</t>
        </is>
      </c>
    </row>
    <row r="11" ht="15" customHeight="1">
      <c r="A11" s="6" t="n">
        <v>7</v>
      </c>
      <c r="C11" s="20" t="inlineStr">
        <is>
          <t>Azure Monitor + Log Analytics (90-day retention)</t>
        </is>
      </c>
      <c r="D11" s="6" t="n">
        <v>2</v>
      </c>
      <c r="E11" s="6" t="n">
        <v>3</v>
      </c>
      <c r="F11" s="10">
        <f>(D11+E11)/2</f>
        <v/>
      </c>
      <c r="G11" s="20" t="inlineStr">
        <is>
          <t>Prompt logging &amp; observability</t>
        </is>
      </c>
    </row>
    <row r="12" ht="15" customHeight="1">
      <c r="A12" s="6" t="n">
        <v>8</v>
      </c>
      <c r="C12" s="20" t="inlineStr">
        <is>
          <t>Azure SQL Database (Standard S3) provisioning</t>
        </is>
      </c>
      <c r="D12" s="6" t="n">
        <v>3</v>
      </c>
      <c r="E12" s="6" t="n">
        <v>4</v>
      </c>
      <c r="F12" s="10">
        <f>(D12+E12)/2</f>
        <v/>
      </c>
      <c r="G12" s="20" t="inlineStr">
        <is>
          <t>Structured metadata &amp; audit log storage</t>
        </is>
      </c>
    </row>
    <row r="13" ht="15" customHeight="1">
      <c r="A13" s="6" t="n">
        <v>9</v>
      </c>
      <c r="C13" s="20" t="inlineStr">
        <is>
          <t>Azure Blob Storage (LRS) for document staging</t>
        </is>
      </c>
      <c r="D13" s="6" t="n">
        <v>2</v>
      </c>
      <c r="E13" s="6" t="n">
        <v>3</v>
      </c>
      <c r="F13" s="10">
        <f>(D13+E13)/2</f>
        <v/>
      </c>
      <c r="G13" s="20" t="inlineStr">
        <is>
          <t>Temp staging &amp; processed doc archive</t>
        </is>
      </c>
    </row>
    <row r="14" ht="15" customHeight="1">
      <c r="A14" s="6" t="n">
        <v>10</v>
      </c>
      <c r="C14" s="20" t="inlineStr">
        <is>
          <t>SharePoint &amp; REST API service principal configuration</t>
        </is>
      </c>
      <c r="D14" s="6" t="n">
        <v>3</v>
      </c>
      <c r="E14" s="6" t="n">
        <v>4</v>
      </c>
      <c r="F14" s="10">
        <f>(D14+E14)/2</f>
        <v/>
      </c>
      <c r="G14" s="20" t="inlineStr">
        <is>
          <t>Auth for all data source connectors</t>
        </is>
      </c>
    </row>
    <row r="15" ht="15" customHeight="1">
      <c r="A15" s="6" t="n">
        <v>11</v>
      </c>
      <c r="C15" s="20" t="inlineStr">
        <is>
          <t>Entra ID / Azure AD app registrations</t>
        </is>
      </c>
      <c r="D15" s="6" t="n">
        <v>2</v>
      </c>
      <c r="E15" s="6" t="n">
        <v>3</v>
      </c>
      <c r="F15" s="10">
        <f>(D15+E15)/2</f>
        <v/>
      </c>
      <c r="G15" s="20" t="inlineStr">
        <is>
          <t>Auth for APIs &amp; Teams bot</t>
        </is>
      </c>
    </row>
    <row r="16" ht="15" customHeight="1">
      <c r="A16" s="6" t="n">
        <v>12</v>
      </c>
      <c r="C16" s="20" t="inlineStr">
        <is>
          <t>Azure Front Door / API Management (optional WAF layer)</t>
        </is>
      </c>
      <c r="D16" s="6" t="n">
        <v>3</v>
      </c>
      <c r="E16" s="6" t="n">
        <v>5</v>
      </c>
      <c r="F16" s="10">
        <f>(D16+E16)/2</f>
        <v/>
      </c>
      <c r="G16" s="20" t="inlineStr">
        <is>
          <t>Rate limiting, WAF rules</t>
        </is>
      </c>
    </row>
    <row r="18" ht="18" customHeight="1">
      <c r="A18" s="2" t="inlineStr">
        <is>
          <t>Copilot Studio &amp; Teams Integration</t>
        </is>
      </c>
      <c r="D18" s="18">
        <f>SUM(D19:D20)</f>
        <v/>
      </c>
      <c r="E18" s="18">
        <f>SUM(E19:E20)</f>
        <v/>
      </c>
      <c r="F18" s="18">
        <f>(D18+E18)/2</f>
        <v/>
      </c>
      <c r="G18" s="19" t="n"/>
    </row>
    <row r="19" ht="15" customHeight="1">
      <c r="A19" s="6" t="n">
        <v>13</v>
      </c>
      <c r="C19" s="20" t="inlineStr">
        <is>
          <t>Copilot Studio environment provisioning &amp; bot channel setup</t>
        </is>
      </c>
      <c r="D19" s="6" t="n">
        <v>3</v>
      </c>
      <c r="E19" s="6" t="n">
        <v>5</v>
      </c>
      <c r="F19" s="10">
        <f>(D19+E19)/2</f>
        <v/>
      </c>
      <c r="G19" s="20" t="inlineStr">
        <is>
          <t>Teams bot channel configuration</t>
        </is>
      </c>
    </row>
    <row r="20" ht="15" customHeight="1">
      <c r="A20" s="6" t="n">
        <v>14</v>
      </c>
      <c r="C20" s="20" t="inlineStr">
        <is>
          <t>Teams admin consent &amp; bot deployment to tenant</t>
        </is>
      </c>
      <c r="D20" s="6" t="n">
        <v>3</v>
      </c>
      <c r="E20" s="6" t="n">
        <v>5</v>
      </c>
      <c r="F20" s="10">
        <f>(D20+E20)/2</f>
        <v/>
      </c>
      <c r="G20" s="20" t="inlineStr">
        <is>
          <t>Admin approval required</t>
        </is>
      </c>
    </row>
    <row r="22" ht="18" customHeight="1">
      <c r="A22" s="2" t="inlineStr">
        <is>
          <t>Security Baseline &amp; Testing</t>
        </is>
      </c>
      <c r="D22" s="18">
        <f>SUM(D23:D25)</f>
        <v/>
      </c>
      <c r="E22" s="18">
        <f>SUM(E23:E25)</f>
        <v/>
      </c>
      <c r="F22" s="18">
        <f>(D22+E22)/2</f>
        <v/>
      </c>
      <c r="G22" s="19" t="n"/>
    </row>
    <row r="23" ht="15" customHeight="1">
      <c r="A23" s="6" t="n">
        <v>15</v>
      </c>
      <c r="C23" s="20" t="inlineStr">
        <is>
          <t>NSG rules, Azure AD conditional access, Key Vault policies</t>
        </is>
      </c>
      <c r="D23" s="6" t="n">
        <v>4</v>
      </c>
      <c r="E23" s="6" t="n">
        <v>6</v>
      </c>
      <c r="F23" s="10">
        <f>(D23+E23)/2</f>
        <v/>
      </c>
      <c r="G23" s="20" t="inlineStr">
        <is>
          <t>Security hardening per scope</t>
        </is>
      </c>
    </row>
    <row r="24" ht="15" customHeight="1">
      <c r="A24" s="6" t="n">
        <v>16</v>
      </c>
      <c r="C24" s="20" t="inlineStr">
        <is>
          <t>UAT staging environment deployment</t>
        </is>
      </c>
      <c r="D24" s="6" t="n">
        <v>2</v>
      </c>
      <c r="E24" s="6" t="n">
        <v>3</v>
      </c>
      <c r="F24" s="10">
        <f>(D24+E24)/2</f>
        <v/>
      </c>
      <c r="G24" s="20" t="inlineStr">
        <is>
          <t>Mirror of production</t>
        </is>
      </c>
    </row>
    <row r="25" ht="15" customHeight="1">
      <c r="A25" s="6" t="n">
        <v>17</v>
      </c>
      <c r="C25" s="20" t="inlineStr">
        <is>
          <t>RBAC configuration – least-privilege roles per team member</t>
        </is>
      </c>
      <c r="D25" s="6" t="n">
        <v>2</v>
      </c>
      <c r="E25" s="6" t="n">
        <v>3</v>
      </c>
      <c r="F25" s="10">
        <f>(D25+E25)/2</f>
        <v/>
      </c>
      <c r="G25" s="20" t="inlineStr">
        <is>
          <t>PIM-based access review</t>
        </is>
      </c>
    </row>
    <row r="27" ht="18" customHeight="1">
      <c r="A27" s="21" t="inlineStr">
        <is>
          <t>Meetings &amp; Sync (10% of dev hours)</t>
        </is>
      </c>
      <c r="D27" s="3">
        <f>(D4+D18+D22)*0.1</f>
        <v/>
      </c>
      <c r="E27" s="3">
        <f>(E4+E18+E22)*0.1</f>
        <v/>
      </c>
      <c r="F27" s="3">
        <f>(D27+E27)/2</f>
        <v/>
      </c>
      <c r="G27" s="22" t="inlineStr">
        <is>
          <t>Standups, client syncs</t>
        </is>
      </c>
    </row>
    <row r="28" ht="20" customHeight="1">
      <c r="A28" s="23" t="inlineStr">
        <is>
          <t>TOTAL DEVOPS HOURS</t>
        </is>
      </c>
      <c r="D28" s="24">
        <f>D4+D18+D22+D27</f>
        <v/>
      </c>
      <c r="E28" s="24">
        <f>E4+E18+E22+E27</f>
        <v/>
      </c>
      <c r="F28" s="24">
        <f>(D28+E28)/2</f>
        <v/>
      </c>
      <c r="G28" s="25" t="inlineStr">
        <is>
          <t>Average for budgeting</t>
        </is>
      </c>
    </row>
  </sheetData>
  <mergeCells count="6">
    <mergeCell ref="A28:C28"/>
    <mergeCell ref="A1:G1"/>
    <mergeCell ref="A22:C22"/>
    <mergeCell ref="A18:C18"/>
    <mergeCell ref="A27:C27"/>
    <mergeCell ref="A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90" customWidth="1" min="4" max="4"/>
  </cols>
  <sheetData>
    <row r="1" ht="28" customHeight="1">
      <c r="A1" s="17" t="inlineStr">
        <is>
          <t>ECI AI PLATFORM BUILD – SOLUTION ARCHITECTURE</t>
        </is>
      </c>
    </row>
    <row r="3" ht="16" customHeight="1">
      <c r="A3" s="11" t="inlineStr">
        <is>
          <t>Platform</t>
        </is>
      </c>
      <c r="B3" s="26" t="inlineStr">
        <is>
          <t>Microsoft Azure (existing subscription leveraged)</t>
        </is>
      </c>
    </row>
    <row r="4" ht="16" customHeight="1">
      <c r="A4" s="11" t="inlineStr">
        <is>
          <t>AI Engine</t>
        </is>
      </c>
      <c r="B4" s="26" t="inlineStr">
        <is>
          <t>Azure OpenAI – GPT-4o (primary) + GPT-4o-mini (cost optimisation)</t>
        </is>
      </c>
    </row>
    <row r="5" ht="16" customHeight="1">
      <c r="A5" s="11" t="inlineStr">
        <is>
          <t>Vector Store</t>
        </is>
      </c>
      <c r="B5" s="26" t="inlineStr">
        <is>
          <t>Azure AI Search Standard S1 – hybrid (vector + BM25)</t>
        </is>
      </c>
    </row>
    <row r="6" ht="16" customHeight="1">
      <c r="A6" s="11" t="inlineStr">
        <is>
          <t>Embeddings</t>
        </is>
      </c>
      <c r="B6" s="26" t="inlineStr">
        <is>
          <t>text-embedding-3-large + text-embedding-ada-002</t>
        </is>
      </c>
    </row>
    <row r="7" ht="16" customHeight="1">
      <c r="A7" s="11" t="inlineStr">
        <is>
          <t>Bot Channel</t>
        </is>
      </c>
      <c r="B7" s="26" t="inlineStr">
        <is>
          <t>Copilot Studio → Microsoft Teams</t>
        </is>
      </c>
    </row>
    <row r="8" ht="16" customHeight="1">
      <c r="A8" s="11" t="inlineStr">
        <is>
          <t>Backend API</t>
        </is>
      </c>
      <c r="B8" s="26" t="inlineStr">
        <is>
          <t>FastAPI on Azure App Service P2V3</t>
        </is>
      </c>
    </row>
    <row r="9" ht="16" customHeight="1">
      <c r="A9" s="11" t="inlineStr">
        <is>
          <t>Auth</t>
        </is>
      </c>
      <c r="B9" s="26" t="inlineStr">
        <is>
          <t>Azure AD / Entra ID – managed identity, SSO</t>
        </is>
      </c>
    </row>
    <row r="10" ht="16" customHeight="1">
      <c r="A10" s="11" t="inlineStr">
        <is>
          <t>Data Sources</t>
        </is>
      </c>
      <c r="B10" s="26" t="inlineStr">
        <is>
          <t>SharePoint Online, REST APIs, Azure SQL, Azure Blob Storage</t>
        </is>
      </c>
    </row>
    <row r="11" ht="16" customHeight="1">
      <c r="A11" s="11" t="inlineStr">
        <is>
          <t>Monitoring</t>
        </is>
      </c>
      <c r="B11" s="26" t="inlineStr">
        <is>
          <t>Azure Monitor + Log Analytics (90-day retention)</t>
        </is>
      </c>
    </row>
    <row r="12" ht="16" customHeight="1">
      <c r="A12" s="11" t="inlineStr">
        <is>
          <t>Security</t>
        </is>
      </c>
      <c r="B12" s="26" t="inlineStr">
        <is>
          <t>Azure Key Vault, Private Endpoints, NSG, Conditional Access</t>
        </is>
      </c>
    </row>
    <row r="25" ht="48" customHeight="1">
      <c r="D25" s="27" t="inlineStr">
        <is>
          <t>Use Case 1 – Document Q&amp;A · Natural language question answering over enterprise documents (PDFs, Word, Excel) via Azure AI Search + GPT-4o RAG pipeline · Teams Adaptive Card trigger → Text + citation output</t>
        </is>
      </c>
    </row>
    <row r="26" ht="48" customHeight="1">
      <c r="D26" s="27" t="inlineStr">
        <is>
          <t>Use Case 2 – Intelligent Report Summarisation · Automated multi-document synthesis &amp; comparison with structured downloadable summary (Word/PDF) · Teams agent search → Formatted summary output</t>
        </is>
      </c>
    </row>
    <row r="27" ht="48" customHeight="1">
      <c r="D27" s="27" t="inlineStr">
        <is>
          <t>Use Case 3 – Anomaly &amp; Insight Detection · Structured data analysis flagging outliers, trends and exceptions across connected data sources · Teams notification → Dashboard-ready insight cards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4" customWidth="1" min="3" max="3"/>
    <col width="22" customWidth="1" min="4" max="4"/>
    <col width="65" customWidth="1" min="5" max="5"/>
  </cols>
  <sheetData>
    <row r="1" ht="28" customHeight="1">
      <c r="A1" s="17" t="inlineStr">
        <is>
          <t>ECI AI PLATFORM BUILD – INFRASTRUCTURE COST ESTIMATE</t>
        </is>
      </c>
    </row>
    <row r="2" ht="18" customHeight="1">
      <c r="A2" s="3" t="inlineStr">
        <is>
          <t>#</t>
        </is>
      </c>
      <c r="B2" s="3" t="inlineStr">
        <is>
          <t>Service / Resource</t>
        </is>
      </c>
      <c r="C2" s="3" t="inlineStr">
        <is>
          <t>$/mo</t>
        </is>
      </c>
      <c r="D2" s="3" t="inlineStr">
        <is>
          <t>Pricing Model</t>
        </is>
      </c>
      <c r="E2" s="3" t="inlineStr">
        <is>
          <t>Notes / Assumptions</t>
        </is>
      </c>
    </row>
    <row r="3" ht="16" customHeight="1">
      <c r="A3" s="13" t="inlineStr">
        <is>
          <t xml:space="preserve">  AI Services — Azure AI Foundry / OpenAI</t>
        </is>
      </c>
    </row>
    <row r="4" ht="30" customHeight="1">
      <c r="A4" s="6" t="n">
        <v>1</v>
      </c>
      <c r="B4" s="7" t="inlineStr">
        <is>
          <t>GPT-4o (Primary LLM — 85% of queries)</t>
        </is>
      </c>
      <c r="C4" s="10" t="n">
        <v>35</v>
      </c>
      <c r="D4" s="7" t="inlineStr">
        <is>
          <t>Pay-per-token</t>
        </is>
      </c>
      <c r="E4" s="20" t="inlineStr">
        <is>
          <t>~750 queries/mo avg 1,200 input + 600 output tokens. GPT-4o: $2.50/$10 per 1M tokens. ~85% of queries.</t>
        </is>
      </c>
    </row>
    <row r="5" ht="30" customHeight="1">
      <c r="A5" s="6" t="n">
        <v>2</v>
      </c>
      <c r="B5" s="7" t="inlineStr">
        <is>
          <t>GPT-4o-mini (Cost-optimised — 15% of queries)</t>
        </is>
      </c>
      <c r="C5" s="10" t="n">
        <v>5</v>
      </c>
      <c r="D5" s="7" t="inlineStr">
        <is>
          <t>Pay-per-token</t>
        </is>
      </c>
      <c r="E5" s="20" t="inlineStr">
        <is>
          <t>~135 queries/mo comparison testing. GPT-4o-mini: $0.15/$0.60 per 1M tokens.</t>
        </is>
      </c>
    </row>
    <row r="6" ht="16" customHeight="1">
      <c r="A6" s="28" t="inlineStr">
        <is>
          <t>Subtotal — AI Services</t>
        </is>
      </c>
      <c r="C6" s="29">
        <f>SUM(C4:C5)</f>
        <v/>
      </c>
      <c r="D6" s="30" t="n"/>
      <c r="E6" s="30" t="n"/>
    </row>
    <row r="8" ht="16" customHeight="1">
      <c r="A8" s="13" t="inlineStr">
        <is>
          <t xml:space="preserve">  Vector Storage — Azure AI Search</t>
        </is>
      </c>
    </row>
    <row r="9" ht="30" customHeight="1">
      <c r="A9" s="6" t="n">
        <v>3</v>
      </c>
      <c r="B9" s="7" t="inlineStr">
        <is>
          <t>Azure AI Search — Standard S1 (1 replica, 1 partition)</t>
        </is>
      </c>
      <c r="C9" s="10" t="n">
        <v>245</v>
      </c>
      <c r="D9" s="7" t="inlineStr">
        <is>
          <t>Fixed monthly</t>
        </is>
      </c>
      <c r="E9" s="20" t="inlineStr">
        <is>
          <t>S1 required for semantic ranker + hybrid search. ~$245/mo base. Supports all 3 use case indexes.</t>
        </is>
      </c>
    </row>
    <row r="10" ht="16" customHeight="1">
      <c r="A10" s="28" t="inlineStr">
        <is>
          <t>Subtotal — Vector Storage</t>
        </is>
      </c>
      <c r="C10" s="29">
        <f>SUM(C9:C9)</f>
        <v/>
      </c>
      <c r="D10" s="30" t="n"/>
      <c r="E10" s="30" t="n"/>
    </row>
    <row r="12" ht="16" customHeight="1">
      <c r="A12" s="13" t="inlineStr">
        <is>
          <t xml:space="preserve">  Compute — App Service &amp; Functions</t>
        </is>
      </c>
    </row>
    <row r="13" ht="30" customHeight="1">
      <c r="A13" s="6" t="n">
        <v>4</v>
      </c>
      <c r="B13" s="7" t="inlineStr">
        <is>
          <t>Azure App Service — P2V3 Linux (FastAPI backend / Teams bot)</t>
        </is>
      </c>
      <c r="C13" s="10" t="n">
        <v>80</v>
      </c>
      <c r="D13" s="7" t="inlineStr">
        <is>
          <t>Fixed monthly</t>
        </is>
      </c>
      <c r="E13" s="20" t="inlineStr">
        <is>
          <t>P2V3: 2 vCPU, 8 GB RAM. ~$80/mo. Hosts REST API for Copilot Studio bot.</t>
        </is>
      </c>
    </row>
    <row r="14" ht="30" customHeight="1">
      <c r="A14" s="6" t="n">
        <v>5</v>
      </c>
      <c r="B14" s="7" t="inlineStr">
        <is>
          <t>Azure Functions — Consumption Plan (ingestion helper)</t>
        </is>
      </c>
      <c r="C14" s="10" t="n">
        <v>5</v>
      </c>
      <c r="D14" s="7" t="inlineStr">
        <is>
          <t>Pay-per-execution</t>
        </is>
      </c>
      <c r="E14" s="20" t="inlineStr">
        <is>
          <t>Used during SharePoint ingestion &amp; delta sync. Near-zero ongoing cost.</t>
        </is>
      </c>
    </row>
    <row r="15" ht="30" customHeight="1">
      <c r="A15" s="6" t="n">
        <v>6</v>
      </c>
      <c r="B15" s="7" t="inlineStr">
        <is>
          <t>Azure Blob Storage — LRS (document staging &amp; archive)</t>
        </is>
      </c>
      <c r="C15" s="10" t="n">
        <v>10</v>
      </c>
      <c r="D15" s="7" t="inlineStr">
        <is>
          <t>Pay-per-GB</t>
        </is>
      </c>
      <c r="E15" s="20" t="inlineStr">
        <is>
          <t>~20 GB document corpus + staging. $0.018/GB/mo.</t>
        </is>
      </c>
    </row>
    <row r="16" ht="16" customHeight="1">
      <c r="A16" s="28" t="inlineStr">
        <is>
          <t>Subtotal — Compute</t>
        </is>
      </c>
      <c r="C16" s="29">
        <f>SUM(C13:C15)</f>
        <v/>
      </c>
      <c r="D16" s="30" t="n"/>
      <c r="E16" s="30" t="n"/>
    </row>
    <row r="18" ht="16" customHeight="1">
      <c r="A18" s="13" t="inlineStr">
        <is>
          <t xml:space="preserve">  Database — Azure SQL</t>
        </is>
      </c>
    </row>
    <row r="19" ht="30" customHeight="1">
      <c r="A19" s="6" t="n">
        <v>7</v>
      </c>
      <c r="B19" s="7" t="inlineStr">
        <is>
          <t>Azure SQL Database — Standard S3 (100 DTUs)</t>
        </is>
      </c>
      <c r="C19" s="10" t="n">
        <v>150</v>
      </c>
      <c r="D19" s="7" t="inlineStr">
        <is>
          <t>Fixed monthly</t>
        </is>
      </c>
      <c r="E19" s="20" t="inlineStr">
        <is>
          <t>S3 = 100 DTUs. Metadata queries, audit logs and cap rate lookup tables. Private endpoint included.</t>
        </is>
      </c>
    </row>
    <row r="20" ht="16" customHeight="1">
      <c r="A20" s="28" t="inlineStr">
        <is>
          <t>Subtotal — Database / Azure SQL</t>
        </is>
      </c>
      <c r="C20" s="29">
        <f>SUM(C19:C19)</f>
        <v/>
      </c>
      <c r="D20" s="30" t="n"/>
      <c r="E20" s="30" t="n"/>
    </row>
    <row r="22" ht="16" customHeight="1">
      <c r="A22" s="13" t="inlineStr">
        <is>
          <t xml:space="preserve">  Security &amp; Identity</t>
        </is>
      </c>
    </row>
    <row r="23" ht="30" customHeight="1">
      <c r="A23" s="6" t="n">
        <v>8</v>
      </c>
      <c r="B23" s="7" t="inlineStr">
        <is>
          <t>Azure Key Vault (secrets, API keys, managed identity)</t>
        </is>
      </c>
      <c r="C23" s="10" t="n">
        <v>10</v>
      </c>
      <c r="D23" s="7" t="inlineStr">
        <is>
          <t>Operations-based</t>
        </is>
      </c>
      <c r="E23" s="20" t="inlineStr">
        <is>
          <t>Standard tier. ~15K operations/mo. First 10K ops free, then $0.03/10K.</t>
        </is>
      </c>
    </row>
    <row r="24" ht="30" customHeight="1">
      <c r="A24" s="6" t="n">
        <v>9</v>
      </c>
      <c r="B24" s="7" t="inlineStr">
        <is>
          <t>Entra ID / Azure AD (service principals, app registrations)</t>
        </is>
      </c>
      <c r="C24" s="10" t="n">
        <v>0</v>
      </c>
      <c r="D24" s="7" t="inlineStr">
        <is>
          <t>Included in M365 E3</t>
        </is>
      </c>
      <c r="E24" s="20" t="inlineStr">
        <is>
          <t>No additional cost. 10 POC users on existing E3 licences.</t>
        </is>
      </c>
    </row>
    <row r="25" ht="30" customHeight="1">
      <c r="A25" s="6" t="n">
        <v>10</v>
      </c>
      <c r="B25" s="7" t="inlineStr">
        <is>
          <t>Azure Front Door / API Management (WAF + rate limiting)</t>
        </is>
      </c>
      <c r="C25" s="10" t="n">
        <v>50</v>
      </c>
      <c r="D25" s="7" t="inlineStr">
        <is>
          <t>Fixed monthly</t>
        </is>
      </c>
      <c r="E25" s="20" t="inlineStr">
        <is>
          <t>Developer tier API Management. WAF policy + IP filtering.</t>
        </is>
      </c>
    </row>
    <row r="26" ht="16" customHeight="1">
      <c r="A26" s="28" t="inlineStr">
        <is>
          <t>Subtotal — Security &amp; Identity</t>
        </is>
      </c>
      <c r="C26" s="29">
        <f>SUM(C23:C25)</f>
        <v/>
      </c>
      <c r="D26" s="30" t="n"/>
      <c r="E26" s="30" t="n"/>
    </row>
    <row r="28" ht="16" customHeight="1">
      <c r="A28" s="13" t="inlineStr">
        <is>
          <t xml:space="preserve">  Monitoring &amp; Observability</t>
        </is>
      </c>
    </row>
    <row r="29" ht="30" customHeight="1">
      <c r="A29" s="6" t="n">
        <v>11</v>
      </c>
      <c r="B29" s="7" t="inlineStr">
        <is>
          <t>Azure Monitor — Log Analytics Workspace</t>
        </is>
      </c>
      <c r="C29" s="10" t="n">
        <v>35</v>
      </c>
      <c r="D29" s="7" t="inlineStr">
        <is>
          <t>Per GB ingested</t>
        </is>
      </c>
      <c r="E29" s="20" t="inlineStr">
        <is>
          <t>Prompt logs for all interactions. ~3-5 GB/mo. $2.30/GB after 5 GB free tier.</t>
        </is>
      </c>
    </row>
    <row r="30" ht="30" customHeight="1">
      <c r="A30" s="6" t="n">
        <v>12</v>
      </c>
      <c r="B30" s="7" t="inlineStr">
        <is>
          <t>Azure Monitor — Alerts &amp; Dashboards</t>
        </is>
      </c>
      <c r="C30" s="10" t="n">
        <v>5</v>
      </c>
      <c r="D30" s="7" t="inlineStr">
        <is>
          <t>Per alert rule</t>
        </is>
      </c>
      <c r="E30" s="20" t="inlineStr">
        <is>
          <t>10 alert rules for latency, error rate, ingestion status.</t>
        </is>
      </c>
    </row>
    <row r="31" ht="16" customHeight="1">
      <c r="A31" s="28" t="inlineStr">
        <is>
          <t>Subtotal — Monitoring &amp; Observability</t>
        </is>
      </c>
      <c r="C31" s="29">
        <f>SUM(C29:C30)</f>
        <v/>
      </c>
      <c r="D31" s="30" t="n"/>
      <c r="E31" s="30" t="n"/>
    </row>
    <row r="33" ht="16" customHeight="1">
      <c r="A33" s="13" t="inlineStr">
        <is>
          <t xml:space="preserve">  Integration — Copilot Studio &amp; Teams</t>
        </is>
      </c>
    </row>
    <row r="34" ht="30" customHeight="1">
      <c r="A34" s="6" t="n">
        <v>13</v>
      </c>
      <c r="B34" s="7" t="inlineStr">
        <is>
          <t>Copilot Studio (Teams bot, Adaptive Cards – all 3 use cases)</t>
        </is>
      </c>
      <c r="C34" s="10" t="n">
        <v>200</v>
      </c>
      <c r="D34" s="7" t="inlineStr">
        <is>
          <t>Pay per message / tenant</t>
        </is>
      </c>
      <c r="E34" s="20" t="inlineStr">
        <is>
          <t>~$200/tenant/mo standalone OR depends on M365 licence tier. Confirm with client.</t>
        </is>
      </c>
    </row>
    <row r="35" ht="16" customHeight="1">
      <c r="A35" s="28" t="inlineStr">
        <is>
          <t>Subtotal — Integration</t>
        </is>
      </c>
      <c r="C35" s="29">
        <f>SUM(C34:C34)</f>
        <v/>
      </c>
      <c r="D35" s="30" t="n"/>
      <c r="E35" s="30" t="n"/>
    </row>
    <row r="37" ht="28" customHeight="1">
      <c r="A37" s="23" t="inlineStr">
        <is>
          <t>TOTAL ESTIMATED MONTHLY INFRASTRUCTURE COST</t>
        </is>
      </c>
      <c r="C37" s="31">
        <f>C6+C10+C16+C20+C26+C31+C35</f>
        <v/>
      </c>
      <c r="D37" s="32" t="n"/>
      <c r="E37" s="33" t="inlineStr">
        <is>
          <t>Estimated monthly cost for POC environment. Excludes one-time setup costs and Copilot Studio (confirm licence with client).</t>
        </is>
      </c>
    </row>
  </sheetData>
  <mergeCells count="16">
    <mergeCell ref="A20:B20"/>
    <mergeCell ref="A12:E12"/>
    <mergeCell ref="A16:B16"/>
    <mergeCell ref="A26:B26"/>
    <mergeCell ref="A18:E18"/>
    <mergeCell ref="A31:B31"/>
    <mergeCell ref="A28:E28"/>
    <mergeCell ref="A10:B10"/>
    <mergeCell ref="A33:E33"/>
    <mergeCell ref="A37:B37"/>
    <mergeCell ref="A1:E1"/>
    <mergeCell ref="A8:E8"/>
    <mergeCell ref="A22:E22"/>
    <mergeCell ref="A6:B6"/>
    <mergeCell ref="A35:B35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5" customWidth="1" min="3" max="3"/>
    <col width="20" customWidth="1" min="4" max="4"/>
  </cols>
  <sheetData>
    <row r="1" ht="25" customHeight="1">
      <c r="A1" s="17" t="inlineStr">
        <is>
          <t>VERSION HISTORY</t>
        </is>
      </c>
    </row>
    <row r="3" ht="18" customHeight="1">
      <c r="A3" s="3" t="inlineStr">
        <is>
          <t>Version</t>
        </is>
      </c>
      <c r="B3" s="3" t="inlineStr">
        <is>
          <t>Changes</t>
        </is>
      </c>
      <c r="C3" s="3" t="inlineStr">
        <is>
          <t>Date</t>
        </is>
      </c>
      <c r="D3" s="3" t="inlineStr">
        <is>
          <t>Author</t>
        </is>
      </c>
    </row>
    <row r="4" ht="18" customHeight="1">
      <c r="A4" s="4" t="inlineStr">
        <is>
          <t>v1.0</t>
        </is>
      </c>
      <c r="B4" s="5" t="inlineStr">
        <is>
          <t>Initial estimate based on ECI AI Platform scope document</t>
        </is>
      </c>
      <c r="C4" s="4" t="inlineStr">
        <is>
          <t>2026-03-11</t>
        </is>
      </c>
      <c r="D4" s="34" t="inlineStr">
        <is>
          <t>Prabhakar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2026-03-11T03:48:05Z</dcterms:created>
  <dcterms:modified xsi:type="dcterms:W3CDTF">2026-03-11T03:48:05Z</dcterms:modified>
</cp:coreProperties>
</file>